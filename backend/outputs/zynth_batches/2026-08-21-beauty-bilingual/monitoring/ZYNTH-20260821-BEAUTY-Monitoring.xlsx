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Social_TikTok" sheetId="3" state="visible" r:id="rId3"/>
    <sheet xmlns:r="http://schemas.openxmlformats.org/officeDocument/2006/relationships" name="Commercials" sheetId="4" state="visible" r:id="rId4"/>
    <sheet xmlns:r="http://schemas.openxmlformats.org/officeDocument/2006/relationships" name="Research" sheetId="5" state="visible" r:id="rId5"/>
    <sheet xmlns:r="http://schemas.openxmlformats.org/officeDocument/2006/relationships" name="Decision_Gates" sheetId="6" state="visible" r:id="rId6"/>
    <sheet xmlns:r="http://schemas.openxmlformats.org/officeDocument/2006/relationships" name="Portfolio_Input" sheetId="7" state="visible" r:id="rId7"/>
  </sheets>
  <definedNames>
    <definedName name="_xlnm._FilterDatabase" localSheetId="1" hidden="1">'Campaigns'!$B$6:$U$16</definedName>
    <definedName name="_xlnm._FilterDatabase" localSheetId="2" hidden="1">'Social_TikTok'!$B$6:$N$16</definedName>
    <definedName name="_xlnm._FilterDatabase" localSheetId="3" hidden="1">'Commercials'!$B$6:$Q$16</definedName>
    <definedName name="_xlnm._FilterDatabase" localSheetId="4" hidden="1">'Research'!$B$6:$J$10</definedName>
    <definedName name="_xlnm._FilterDatabase" localSheetId="5" hidden="1">'Decision_Gates'!$B$6:$J$36</definedName>
    <definedName name="_xlnm._FilterDatabase" localSheetId="6" hidden="1">'Portfolio_Input'!$B$6:$M$26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K #,##0"/>
  </numFmts>
  <fonts count="9">
    <font>
      <name val="Calibri"/>
      <family val="2"/>
      <color theme="1"/>
      <sz val="11"/>
      <scheme val="minor"/>
    </font>
    <font>
      <name val="Georgia"/>
      <b val="1"/>
      <color rgb="002D2D2D"/>
      <sz val="20"/>
    </font>
    <font>
      <name val="Calibri"/>
      <i val="1"/>
      <color rgb="006B7280"/>
      <sz val="9"/>
    </font>
    <font>
      <name val="Georgia"/>
      <b val="1"/>
      <color rgb="002D2D2D"/>
      <sz val="10"/>
    </font>
    <font>
      <name val="Georgia"/>
      <b val="1"/>
      <color rgb="00722F37"/>
      <sz val="17"/>
    </font>
    <font>
      <name val="Calibri"/>
      <i val="1"/>
      <color rgb="006B7280"/>
      <sz val="8"/>
    </font>
    <font>
      <name val="Calibri"/>
      <b val="1"/>
      <color rgb="00FFFFFF"/>
      <sz val="9"/>
    </font>
    <font>
      <color rgb="000563C1"/>
      <sz val="9"/>
      <u val="single"/>
    </font>
    <font>
      <name val="Calibri"/>
      <color rgb="001F2933"/>
      <sz val="9"/>
    </font>
  </fonts>
  <fills count="5">
    <fill>
      <patternFill/>
    </fill>
    <fill>
      <patternFill patternType="gray125"/>
    </fill>
    <fill>
      <patternFill patternType="solid">
        <fgColor rgb="00F4E5E8"/>
      </patternFill>
    </fill>
    <fill>
      <patternFill patternType="solid">
        <fgColor rgb="002D2D2D"/>
      </patternFill>
    </fill>
    <fill>
      <patternFill patternType="solid">
        <fgColor rgb="00FCFAFB"/>
      </patternFill>
    </fill>
  </fills>
  <borders count="2">
    <border>
      <left/>
      <right/>
      <top/>
      <bottom/>
      <diagonal/>
    </border>
    <border>
      <left style="thin">
        <color rgb="00D9D2D5"/>
      </left>
      <right style="thin">
        <color rgb="00D9D2D5"/>
      </right>
      <top style="thin">
        <color rgb="00D9D2D5"/>
      </top>
      <bottom style="thin">
        <color rgb="00D9D2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8" fillId="0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164" fontId="8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 Campaign Planning Envelope (MMK)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'Campaigns'!M6</f>
            </strRef>
          </tx>
          <spPr>
            <a:solidFill xmlns:a="http://schemas.openxmlformats.org/drawingml/2006/main">
              <a:srgbClr val="B28A4A"/>
            </a:solidFill>
            <a:ln xmlns:a="http://schemas.openxmlformats.org/drawingml/2006/main">
              <a:prstDash val="solid"/>
            </a:ln>
          </spPr>
          <cat>
            <numRef>
              <f>'Campaigns'!$C$7:$C$16</f>
            </numRef>
          </cat>
          <val>
            <numRef>
              <f>'Campaigns'!$M$7:$M$16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ads.tiktok.com/business/en-US/blog/beauty-advertising-tiktok-guide" TargetMode="External" Id="rId1"/><Relationship Type="http://schemas.openxmlformats.org/officeDocument/2006/relationships/hyperlink" Target="https://www.fda.gov.mm/" TargetMode="External" Id="rId2"/><Relationship Type="http://schemas.openxmlformats.org/officeDocument/2006/relationships/hyperlink" Target="https://ads.tiktok.com/resources/help/article/tiktok-ads-policy-healthcare-pharmaceuticals" TargetMode="External" Id="rId3"/><Relationship Type="http://schemas.openxmlformats.org/officeDocument/2006/relationships/hyperlink" Target="https://www.youtube.com/watch?v=Wa7aHXpMw_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3" customWidth="1" min="4" max="4"/>
    <col width="26" customWidth="1" min="5" max="5"/>
    <col width="16" customWidth="1" min="6" max="6"/>
    <col width="3" customWidth="1" min="7" max="7"/>
    <col width="26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1" t="n"/>
      <c r="B2" s="1" t="inlineStr">
        <is>
          <t>ZYNTH Beauty / Cosmetics — Command View</t>
        </is>
      </c>
      <c r="C2" s="1" t="n"/>
      <c r="D2" s="1" t="n"/>
      <c r="E2" s="1" t="n"/>
      <c r="F2" s="1" t="n"/>
      <c r="G2" s="1" t="n"/>
      <c r="H2" s="1" t="n"/>
      <c r="I2" s="1" t="n"/>
    </row>
    <row r="3" ht="28" customHeight="1">
      <c r="A3" s="1" t="n"/>
      <c r="B3" s="1" t="inlineStr">
        <is>
          <t>Batch: ZYNTH-20260821-BEAUTY-BILINGUAL | Social media and TikTok are campaign preparation workstreams, not substitutes for the separate commercial track.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2" t="inlineStr">
        <is>
          <t>Campaign proposals</t>
        </is>
      </c>
      <c r="C7" s="1" t="n"/>
      <c r="D7" s="1" t="n"/>
      <c r="E7" s="2" t="inlineStr">
        <is>
          <t>Social/TikTok routes</t>
        </is>
      </c>
      <c r="F7" s="1" t="n"/>
      <c r="G7" s="1" t="n"/>
      <c r="H7" s="2" t="inlineStr">
        <is>
          <t>Standalone commercials</t>
        </is>
      </c>
      <c r="I7" s="1" t="n"/>
    </row>
    <row r="8">
      <c r="A8" s="1" t="n"/>
      <c r="B8" s="1">
        <f>COUNTA(Campaigns!B7:B16)</f>
        <v/>
      </c>
      <c r="C8" s="1" t="n"/>
      <c r="D8" s="1" t="n"/>
      <c r="E8" s="1">
        <f>COUNTA(Social_TikTok!B7:B16)</f>
        <v/>
      </c>
      <c r="F8" s="1" t="n"/>
      <c r="G8" s="1" t="n"/>
      <c r="H8" s="1">
        <f>COUNTA(Commercials!B7:B16)</f>
        <v/>
      </c>
      <c r="I8" s="1" t="n"/>
    </row>
    <row r="9">
      <c r="A9" s="1" t="n"/>
      <c r="B9" s="1" t="inlineStr">
        <is>
          <t>Integrated activation + social/TikTok preparation</t>
        </is>
      </c>
      <c r="C9" s="1" t="n"/>
      <c r="D9" s="1" t="n"/>
      <c r="E9" s="1" t="inlineStr">
        <is>
          <t>One required workstream per campaign</t>
        </is>
      </c>
      <c r="F9" s="1" t="n"/>
      <c r="G9" s="1" t="n"/>
      <c r="H9" s="1" t="inlineStr">
        <is>
          <t>Separate COM IDs and decisions</t>
        </is>
      </c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2" t="inlineStr">
        <is>
          <t>Storyboard frames</t>
        </is>
      </c>
      <c r="C11" s="1" t="n"/>
      <c r="D11" s="1" t="n"/>
      <c r="E11" s="2" t="inlineStr">
        <is>
          <t>Research sources</t>
        </is>
      </c>
      <c r="F11" s="1" t="n"/>
      <c r="G11" s="1" t="n"/>
      <c r="H11" s="2" t="inlineStr">
        <is>
          <t>Pending human gates</t>
        </is>
      </c>
      <c r="I11" s="1" t="n"/>
    </row>
    <row r="12">
      <c r="A12" s="1" t="n"/>
      <c r="B12" s="1">
        <f>SUM(Commercials!L7:L16)</f>
        <v/>
      </c>
      <c r="C12" s="1" t="n"/>
      <c r="D12" s="1" t="n"/>
      <c r="E12" s="1">
        <f>COUNTA(Research!B7:B10)</f>
        <v/>
      </c>
      <c r="F12" s="1" t="n"/>
      <c r="G12" s="1" t="n"/>
      <c r="H12" s="1">
        <f>COUNTIF(Decision_Gates!I7:I36,"Pending")</f>
        <v/>
      </c>
      <c r="I12" s="1" t="n"/>
    </row>
    <row r="13">
      <c r="A13" s="1" t="n"/>
      <c r="B13" s="1" t="inlineStr">
        <is>
          <t>12 frames per commercial</t>
        </is>
      </c>
      <c r="C13" s="1" t="n"/>
      <c r="D13" s="1" t="n"/>
      <c r="E13" s="1" t="inlineStr">
        <is>
          <t>Use limits retained</t>
        </is>
      </c>
      <c r="F13" s="1" t="n"/>
      <c r="G13" s="1" t="n"/>
      <c r="H13" s="1" t="inlineStr">
        <is>
          <t>No external release authorised</t>
        </is>
      </c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24" customHeight="1">
      <c r="A21" s="1" t="n"/>
      <c r="B21" s="1" t="inlineStr">
        <is>
          <t>• Update the same CMP/COM IDs and version fields; do not create a new tracker for revisions.</t>
        </is>
      </c>
      <c r="C21" s="1" t="n"/>
      <c r="D21" s="1" t="n"/>
      <c r="E21" s="1" t="n"/>
      <c r="F21" s="1" t="n"/>
      <c r="G21" s="1" t="n"/>
      <c r="H21" s="1" t="n"/>
      <c r="I21" s="1" t="n"/>
    </row>
    <row r="22" ht="24" customHeight="1">
      <c r="A22" s="1" t="n"/>
      <c r="B22" s="1" t="inlineStr">
        <is>
          <t>• Social/TikTok preparation requires client-approved product facts, claims, account access, rights, privacy, moderation, target/audience and measurement settings.</t>
        </is>
      </c>
      <c r="C22" s="1" t="n"/>
      <c r="D22" s="1" t="n"/>
      <c r="E22" s="1" t="n"/>
      <c r="F22" s="1" t="n"/>
      <c r="G22" s="1" t="n"/>
      <c r="H22" s="1" t="n"/>
      <c r="I22" s="1" t="n"/>
    </row>
    <row r="23" ht="24" customHeight="1">
      <c r="A23" s="1" t="n"/>
      <c r="B23" s="1" t="inlineStr">
        <is>
          <t>• No paid post, creator outreach, UGC reuse, product sampling, data capture, clinic/procedure, product claim or retail/commerce activity proceeds without named human gates.</t>
        </is>
      </c>
      <c r="C23" s="1" t="n"/>
      <c r="D23" s="1" t="n"/>
      <c r="E23" s="1" t="n"/>
      <c r="F23" s="1" t="n"/>
      <c r="G23" s="1" t="n"/>
      <c r="H23" s="1" t="n"/>
      <c r="I23" s="1" t="n"/>
    </row>
    <row r="24" ht="24" customHeight="1">
      <c r="A24" s="1" t="n"/>
      <c r="B24" s="1" t="inlineStr">
        <is>
          <t>• Replace every planning scenario and budget with client data, supplier quotations and approved media/creator plans before commercial sign-off.</t>
        </is>
      </c>
      <c r="C24" s="1" t="n"/>
      <c r="D24" s="1" t="n"/>
      <c r="E24" s="1" t="n"/>
      <c r="F24" s="1" t="n"/>
      <c r="G24" s="1" t="n"/>
      <c r="H24" s="1" t="n"/>
      <c r="I24" s="1" t="n"/>
    </row>
  </sheetData>
  <mergeCells count="24">
    <mergeCell ref="E12:F12"/>
    <mergeCell ref="B7:C7"/>
    <mergeCell ref="B3:I3"/>
    <mergeCell ref="B22:I22"/>
    <mergeCell ref="H9:I9"/>
    <mergeCell ref="E8:F8"/>
    <mergeCell ref="B12:C12"/>
    <mergeCell ref="B21:I21"/>
    <mergeCell ref="B11:C11"/>
    <mergeCell ref="B2:I2"/>
    <mergeCell ref="E13:F13"/>
    <mergeCell ref="B23:I23"/>
    <mergeCell ref="E9:F9"/>
    <mergeCell ref="B8:C8"/>
    <mergeCell ref="B13:C13"/>
    <mergeCell ref="H11:I11"/>
    <mergeCell ref="H7:I7"/>
    <mergeCell ref="E11:F11"/>
    <mergeCell ref="B9:C9"/>
    <mergeCell ref="H13:I13"/>
    <mergeCell ref="H12:I12"/>
    <mergeCell ref="E7:F7"/>
    <mergeCell ref="B24:I24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9" customWidth="1" min="2" max="2"/>
    <col width="26" customWidth="1" min="3" max="3"/>
    <col width="30" customWidth="1" min="4" max="4"/>
    <col width="30" customWidth="1" min="5" max="5"/>
    <col width="35" customWidth="1" min="6" max="6"/>
    <col width="34" customWidth="1" min="7" max="7"/>
    <col width="38" customWidth="1" min="8" max="8"/>
    <col width="28" customWidth="1" min="9" max="9"/>
    <col width="28" customWidth="1" min="10" max="10"/>
    <col width="16" customWidth="1" min="11" max="11"/>
    <col width="14" customWidth="1" min="12" max="12"/>
    <col width="16" customWidth="1" min="13" max="13"/>
    <col width="14" customWidth="1" min="14" max="14"/>
    <col width="20" customWidth="1" min="15" max="15"/>
    <col width="35" customWidth="1" min="16" max="16"/>
    <col width="42" customWidth="1" min="17" max="17"/>
    <col width="16" customWidth="1" min="18" max="18"/>
    <col width="25" customWidth="1" min="19" max="19"/>
    <col width="14" customWidth="1" min="20" max="20"/>
    <col width="18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0" customHeight="1">
      <c r="A2" s="1" t="n"/>
      <c r="B2" s="1" t="inlineStr">
        <is>
          <t>Campaign / Activation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28" customHeight="1">
      <c r="A3" s="1" t="n"/>
      <c r="B3" s="1" t="inlineStr">
        <is>
          <t>One row per campaign. Planning-only values require client replacement and approval.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30" customHeight="1">
      <c r="A6" s="1" t="n"/>
      <c r="B6" s="3" t="inlineStr">
        <is>
          <t>Campaign ID</t>
        </is>
      </c>
      <c r="C6" s="3" t="inlineStr">
        <is>
          <t>Name</t>
        </is>
      </c>
      <c r="D6" s="3" t="inlineStr">
        <is>
          <t>Myanmar title</t>
        </is>
      </c>
      <c r="E6" s="3" t="inlineStr">
        <is>
          <t>Format</t>
        </is>
      </c>
      <c r="F6" s="3" t="inlineStr">
        <is>
          <t>Commercial tension</t>
        </is>
      </c>
      <c r="G6" s="3" t="inlineStr">
        <is>
          <t>Audience / behaviour change</t>
        </is>
      </c>
      <c r="H6" s="3" t="inlineStr">
        <is>
          <t>Conversion mechanism</t>
        </is>
      </c>
      <c r="I6" s="3" t="inlineStr">
        <is>
          <t>Creative territory</t>
        </is>
      </c>
      <c r="J6" s="3" t="inlineStr">
        <is>
          <t>Seasonal logic</t>
        </is>
      </c>
      <c r="K6" s="3" t="inlineStr">
        <is>
          <t>Status</t>
        </is>
      </c>
      <c r="L6" s="3" t="inlineStr">
        <is>
          <t>Lean MMK</t>
        </is>
      </c>
      <c r="M6" s="3" t="inlineStr">
        <is>
          <t>Recommended MMK</t>
        </is>
      </c>
      <c r="N6" s="3" t="inlineStr">
        <is>
          <t>Flagship MMK</t>
        </is>
      </c>
      <c r="O6" s="3" t="inlineStr">
        <is>
          <t>Primary conversion</t>
        </is>
      </c>
      <c r="P6" s="3" t="inlineStr">
        <is>
          <t>KPIs</t>
        </is>
      </c>
      <c r="Q6" s="3" t="inlineStr">
        <is>
          <t>Approvals</t>
        </is>
      </c>
      <c r="R6" s="3" t="inlineStr">
        <is>
          <t>Source IDs</t>
        </is>
      </c>
      <c r="S6" s="3" t="inlineStr">
        <is>
          <t>Latest artifact</t>
        </is>
      </c>
      <c r="T6" s="3" t="inlineStr">
        <is>
          <t>Current version</t>
        </is>
      </c>
      <c r="U6" s="3" t="inlineStr">
        <is>
          <t>Notes</t>
        </is>
      </c>
      <c r="V6" s="1" t="n"/>
    </row>
    <row r="7" ht="46" customHeight="1">
      <c r="A7" s="1" t="n"/>
      <c r="B7" s="4" t="inlineStr">
        <is>
          <t>CMP-2026-BEAUTY-01</t>
        </is>
      </c>
      <c r="C7" s="4" t="inlineStr">
        <is>
          <t>Ingredient Listening Bar</t>
        </is>
      </c>
      <c r="D7" s="4" t="inlineStr">
        <is>
          <t>ပါဝင်ပစ္စည်းကို နားထောင်မယ့် Ingredient Listening Bar</t>
        </is>
      </c>
      <c r="E7" s="4" t="inlineStr">
        <is>
          <t>controlled ingredient-literacy pop-up and short-form Q&amp;A series</t>
        </is>
      </c>
      <c r="F7" s="4" t="inlineStr">
        <is>
          <t>Beauty shoppers may see ingredient language without a brand-approved way to ask what a product is, is not, and requires them to verify.</t>
        </is>
      </c>
      <c r="G7" s="4" t="inlineStr">
        <is>
          <t>Customer-service and retail teams; audience and product category TBC.</t>
        </is>
      </c>
      <c r="H7" s="4" t="inlineStr">
        <is>
          <t>A non-product “ask before you choose” card captures a consented consultation or approved retailer-information request.</t>
        </is>
      </c>
      <c r="I7" s="4" t="inlineStr">
        <is>
          <t>Care begins with a better question</t>
        </is>
      </c>
      <c r="J7" s="4" t="inlineStr">
        <is>
          <t>Client-confirmed seasonal retail window; proposed/TBC.</t>
        </is>
      </c>
      <c r="K7" s="4" t="inlineStr">
        <is>
          <t>Concept ready</t>
        </is>
      </c>
      <c r="L7" s="5" t="n">
        <v>14800000</v>
      </c>
      <c r="M7" s="5" t="n">
        <v>20600000</v>
      </c>
      <c r="N7" s="5" t="n">
        <v>32400000</v>
      </c>
      <c r="O7" s="4" t="inlineStr">
        <is>
          <t>Client-defined</t>
        </is>
      </c>
      <c r="P7" s="4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7" s="4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7" s="4" t="inlineStr">
        <is>
          <t>BEA-S01, BEA-S02, BEA-S03, BEA-S04</t>
        </is>
      </c>
      <c r="S7" s="4" t="inlineStr">
        <is>
          <t>Drive upload pending</t>
        </is>
      </c>
      <c r="T7" s="4" t="inlineStr">
        <is>
          <t>v1.0</t>
        </is>
      </c>
      <c r="U7" s="4" t="inlineStr">
        <is>
          <t>Planning only</t>
        </is>
      </c>
      <c r="V7" s="1" t="n"/>
    </row>
    <row r="8" ht="46" customHeight="1">
      <c r="A8" s="1" t="n"/>
      <c r="B8" s="6" t="inlineStr">
        <is>
          <t>CMP-2026-BEAUTY-02</t>
        </is>
      </c>
      <c r="C8" s="6" t="inlineStr">
        <is>
          <t>My Routine, My Rhythm</t>
        </is>
      </c>
      <c r="D8" s="6" t="inlineStr">
        <is>
          <t>ကိုယ့် Routine ကိုယ့် Rhythm</t>
        </is>
      </c>
      <c r="E8" s="6" t="inlineStr">
        <is>
          <t>routine-building retail clinic and seven-day social participation preparation</t>
        </is>
      </c>
      <c r="F8" s="6" t="inlineStr">
        <is>
          <t>A product shelf can feel like a list of promises rather than a calm, client-verified routine conversation.</t>
        </is>
      </c>
      <c r="G8" s="6" t="inlineStr">
        <is>
          <t>Beauty consumers considering a client-approved routine; skin profile, age and product fit TBC.</t>
        </is>
      </c>
      <c r="H8" s="6" t="inlineStr">
        <is>
          <t>A fictional routine board helps visitors select a learning card and consent to a client-approved follow-up.</t>
        </is>
      </c>
      <c r="I8" s="6" t="inlineStr">
        <is>
          <t>Small rituals, clearly chosen</t>
        </is>
      </c>
      <c r="J8" s="6" t="inlineStr">
        <is>
          <t>Proposed for a client-confirmed 7-day campaign period; dates TBC.</t>
        </is>
      </c>
      <c r="K8" s="6" t="inlineStr">
        <is>
          <t>Concept ready</t>
        </is>
      </c>
      <c r="L8" s="7" t="n">
        <v>18500000</v>
      </c>
      <c r="M8" s="7" t="n">
        <v>26700000</v>
      </c>
      <c r="N8" s="7" t="n">
        <v>41300000</v>
      </c>
      <c r="O8" s="6" t="inlineStr">
        <is>
          <t>Client-defined</t>
        </is>
      </c>
      <c r="P8" s="6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8" s="6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8" s="6" t="inlineStr">
        <is>
          <t>BEA-S01, BEA-S02, BEA-S03, BEA-S04</t>
        </is>
      </c>
      <c r="S8" s="6" t="inlineStr">
        <is>
          <t>Drive upload pending</t>
        </is>
      </c>
      <c r="T8" s="6" t="inlineStr">
        <is>
          <t>v1.0</t>
        </is>
      </c>
      <c r="U8" s="6" t="inlineStr">
        <is>
          <t>Planning only</t>
        </is>
      </c>
      <c r="V8" s="1" t="n"/>
    </row>
    <row r="9" ht="46" customHeight="1">
      <c r="A9" s="1" t="n"/>
      <c r="B9" s="4" t="inlineStr">
        <is>
          <t>CMP-2026-BEAUTY-03</t>
        </is>
      </c>
      <c r="C9" s="4" t="inlineStr">
        <is>
          <t>Shade Story Studio</t>
        </is>
      </c>
      <c r="D9" s="4" t="inlineStr">
        <is>
          <t>အရောင်ရွေးချယ်မှုရဲ့ ဇာတ်လမ်း</t>
        </is>
      </c>
      <c r="E9" s="4" t="inlineStr">
        <is>
          <t>shade-discovery studio, creator briefing and vertical-video capture plan</t>
        </is>
      </c>
      <c r="F9" s="4" t="inlineStr">
        <is>
          <t>Makeup choice can become performative when shoppers feel they must copy a trend instead of describing a preferred look.</t>
        </is>
      </c>
      <c r="G9" s="4" t="inlineStr">
        <is>
          <t>Makeup-curious consumers and client-approved creators; talent/availability TBC.</t>
        </is>
      </c>
      <c r="H9" s="4" t="inlineStr">
        <is>
          <t>A “look-language” card turns a visitor’s selected mood into a consented appointment or approved product-information request.</t>
        </is>
      </c>
      <c r="I9" s="4" t="inlineStr">
        <is>
          <t>Your face, your own vocabulary</t>
        </is>
      </c>
      <c r="J9" s="4" t="inlineStr">
        <is>
          <t>Proposed seasonal color moment; product range and date TBC.</t>
        </is>
      </c>
      <c r="K9" s="4" t="inlineStr">
        <is>
          <t>Concept ready</t>
        </is>
      </c>
      <c r="L9" s="5" t="n">
        <v>22600000</v>
      </c>
      <c r="M9" s="5" t="n">
        <v>33900000</v>
      </c>
      <c r="N9" s="5" t="n">
        <v>52100000</v>
      </c>
      <c r="O9" s="4" t="inlineStr">
        <is>
          <t>Client-defined</t>
        </is>
      </c>
      <c r="P9" s="4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9" s="4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9" s="4" t="inlineStr">
        <is>
          <t>BEA-S01, BEA-S02, BEA-S03, BEA-S04</t>
        </is>
      </c>
      <c r="S9" s="4" t="inlineStr">
        <is>
          <t>Drive upload pending</t>
        </is>
      </c>
      <c r="T9" s="4" t="inlineStr">
        <is>
          <t>v1.0</t>
        </is>
      </c>
      <c r="U9" s="4" t="inlineStr">
        <is>
          <t>Planning only</t>
        </is>
      </c>
      <c r="V9" s="1" t="n"/>
    </row>
    <row r="10" ht="46" customHeight="1">
      <c r="A10" s="1" t="n"/>
      <c r="B10" s="6" t="inlineStr">
        <is>
          <t>CMP-2026-BEAUTY-04</t>
        </is>
      </c>
      <c r="C10" s="6" t="inlineStr">
        <is>
          <t>The 60-Second Reset</t>
        </is>
      </c>
      <c r="D10" s="6" t="inlineStr">
        <is>
          <t>စက္ကန့် ၆၀ Reset</t>
        </is>
      </c>
      <c r="E10" s="6" t="inlineStr">
        <is>
          <t>short-form routine challenge and counter-side reset station</t>
        </is>
      </c>
      <c r="F10" s="6" t="inlineStr">
        <is>
          <t>Short-form beauty content can pressure people to seek an instant result rather than understand a routine’s permitted use.</t>
        </is>
      </c>
      <c r="G10" s="6" t="inlineStr">
        <is>
          <t>Social-first beauty audiences and client-owned community channels.</t>
        </is>
      </c>
      <c r="H10" s="6" t="inlineStr">
        <is>
          <t>A one-minute non-product reset prompt routes participants to approved education content or an opt-in reminder.</t>
        </is>
      </c>
      <c r="I10" s="6" t="inlineStr">
        <is>
          <t>A pause before the scroll</t>
        </is>
      </c>
      <c r="J10" s="6" t="inlineStr">
        <is>
          <t>Always-on preparation with client-confirmed weekly cadence; channel, account and exact publishing scope TBC.</t>
        </is>
      </c>
      <c r="K10" s="6" t="inlineStr">
        <is>
          <t>Concept ready</t>
        </is>
      </c>
      <c r="L10" s="7" t="n">
        <v>12200000</v>
      </c>
      <c r="M10" s="7" t="n">
        <v>18600000</v>
      </c>
      <c r="N10" s="7" t="n">
        <v>29400000</v>
      </c>
      <c r="O10" s="6" t="inlineStr">
        <is>
          <t>Client-defined</t>
        </is>
      </c>
      <c r="P10" s="6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10" s="6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10" s="6" t="inlineStr">
        <is>
          <t>BEA-S01, BEA-S02, BEA-S03, BEA-S04</t>
        </is>
      </c>
      <c r="S10" s="6" t="inlineStr">
        <is>
          <t>Drive upload pending</t>
        </is>
      </c>
      <c r="T10" s="6" t="inlineStr">
        <is>
          <t>v1.0</t>
        </is>
      </c>
      <c r="U10" s="6" t="inlineStr">
        <is>
          <t>Planning only</t>
        </is>
      </c>
      <c r="V10" s="1" t="n"/>
    </row>
    <row r="11" ht="46" customHeight="1">
      <c r="A11" s="1" t="n"/>
      <c r="B11" s="4" t="inlineStr">
        <is>
          <t>CMP-2026-BEAUTY-05</t>
        </is>
      </c>
      <c r="C11" s="4" t="inlineStr">
        <is>
          <t>Refill With Intention</t>
        </is>
      </c>
      <c r="D11" s="4" t="inlineStr">
        <is>
          <t>ရည်ရွယ်ချက်နဲ့ Refill</t>
        </is>
      </c>
      <c r="E11" s="4" t="inlineStr">
        <is>
          <t>refill-literacy activation with a materials/aftercare social education series</t>
        </is>
      </c>
      <c r="F11" s="4" t="inlineStr">
        <is>
          <t>Sustainability language can become vague if a beauty brand has not confirmed what packaging, refill, return or aftercare proposition is actually available.</t>
        </is>
      </c>
      <c r="G11" s="4" t="inlineStr">
        <is>
          <t>Existing or prospective customers; refill programme, terms and collection location TBC.</t>
        </is>
      </c>
      <c r="H11" s="4" t="inlineStr">
        <is>
          <t>A proposed/TBC return-and-care pledge asks participants to choose a learning path and a consented update channel.</t>
        </is>
      </c>
      <c r="I11" s="4" t="inlineStr">
        <is>
          <t>Keep the ritual, question the waste</t>
        </is>
      </c>
      <c r="J11" s="4" t="inlineStr">
        <is>
          <t>Proposed for an approved return/refill pilot; location and terms TBC.</t>
        </is>
      </c>
      <c r="K11" s="4" t="inlineStr">
        <is>
          <t>Concept ready</t>
        </is>
      </c>
      <c r="L11" s="5" t="n">
        <v>16700000</v>
      </c>
      <c r="M11" s="5" t="n">
        <v>25200000</v>
      </c>
      <c r="N11" s="5" t="n">
        <v>38800000</v>
      </c>
      <c r="O11" s="4" t="inlineStr">
        <is>
          <t>Client-defined</t>
        </is>
      </c>
      <c r="P11" s="4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11" s="4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11" s="4" t="inlineStr">
        <is>
          <t>BEA-S01, BEA-S02, BEA-S03, BEA-S04</t>
        </is>
      </c>
      <c r="S11" s="4" t="inlineStr">
        <is>
          <t>Drive upload pending</t>
        </is>
      </c>
      <c r="T11" s="4" t="inlineStr">
        <is>
          <t>v1.0</t>
        </is>
      </c>
      <c r="U11" s="4" t="inlineStr">
        <is>
          <t>Planning only</t>
        </is>
      </c>
      <c r="V11" s="1" t="n"/>
    </row>
    <row r="12" ht="46" customHeight="1">
      <c r="A12" s="1" t="n"/>
      <c r="B12" s="6" t="inlineStr">
        <is>
          <t>CMP-2026-BEAUTY-06</t>
        </is>
      </c>
      <c r="C12" s="6" t="inlineStr">
        <is>
          <t>Beauty Desk After Dark</t>
        </is>
      </c>
      <c r="D12" s="6" t="inlineStr">
        <is>
          <t>ညဘက် Beauty Desk</t>
        </is>
      </c>
      <c r="E12" s="6" t="inlineStr">
        <is>
          <t>appointment-led evening consultation salon with WhatsApp/social hand-raise preparation</t>
        </is>
      </c>
      <c r="F12" s="6" t="inlineStr">
        <is>
          <t>After-work customers can need a quieter way to ask routine questions, without the brand implying a clinical or therapeutic consultation.</t>
        </is>
      </c>
      <c r="G12" s="6" t="inlineStr">
        <is>
          <t>Client-approved adult audience; consultation scope, staff and hours TBC.</t>
        </is>
      </c>
      <c r="H12" s="6" t="inlineStr">
        <is>
          <t>A protected “ask a routine question” form or messaging hand-raise requests a client-approved appointment.</t>
        </is>
      </c>
      <c r="I12" s="6" t="inlineStr">
        <is>
          <t>A calm answer after a full day</t>
        </is>
      </c>
      <c r="J12" s="6" t="inlineStr">
        <is>
          <t>Proposed evening trial window; venue, staff, safety and access TBC.</t>
        </is>
      </c>
      <c r="K12" s="6" t="inlineStr">
        <is>
          <t>Concept ready</t>
        </is>
      </c>
      <c r="L12" s="7" t="n">
        <v>20500000</v>
      </c>
      <c r="M12" s="7" t="n">
        <v>31800000</v>
      </c>
      <c r="N12" s="7" t="n">
        <v>48600000</v>
      </c>
      <c r="O12" s="6" t="inlineStr">
        <is>
          <t>Client-defined</t>
        </is>
      </c>
      <c r="P12" s="6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12" s="6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12" s="6" t="inlineStr">
        <is>
          <t>BEA-S01, BEA-S02, BEA-S03, BEA-S04</t>
        </is>
      </c>
      <c r="S12" s="6" t="inlineStr">
        <is>
          <t>Drive upload pending</t>
        </is>
      </c>
      <c r="T12" s="6" t="inlineStr">
        <is>
          <t>v1.0</t>
        </is>
      </c>
      <c r="U12" s="6" t="inlineStr">
        <is>
          <t>Planning only</t>
        </is>
      </c>
      <c r="V12" s="1" t="n"/>
    </row>
    <row r="13" ht="46" customHeight="1">
      <c r="A13" s="1" t="n"/>
      <c r="B13" s="4" t="inlineStr">
        <is>
          <t>CMP-2026-BEAUTY-07</t>
        </is>
      </c>
      <c r="C13" s="4" t="inlineStr">
        <is>
          <t>The Texture Library</t>
        </is>
      </c>
      <c r="D13" s="4" t="inlineStr">
        <is>
          <t>Texture ကို စမ်းသပ်မယ့် Library</t>
        </is>
      </c>
      <c r="E13" s="4" t="inlineStr">
        <is>
          <t>sensory design exhibition and creator macro-content preparation</t>
        </is>
      </c>
      <c r="F13" s="4" t="inlineStr">
        <is>
          <t>Beauty texture is often shown visually, but customers may need a brand-approved, hygienic and non-medical way to explore it.</t>
        </is>
      </c>
      <c r="G13" s="4" t="inlineStr">
        <is>
          <t>Beauty explorers; actual product handling and hygiene protocol TBC.</t>
        </is>
      </c>
      <c r="H13" s="4" t="inlineStr">
        <is>
          <t>A hygienic non-product texture language board opens an approved product-information or appointment path.</t>
        </is>
      </c>
      <c r="I13" s="4" t="inlineStr">
        <is>
          <t>See the detail. Keep the boundary.</t>
        </is>
      </c>
      <c r="J13" s="4" t="inlineStr">
        <is>
          <t>Proposed gallery/retail setting; hygiene and product-access protocol TBC.</t>
        </is>
      </c>
      <c r="K13" s="4" t="inlineStr">
        <is>
          <t>Concept ready</t>
        </is>
      </c>
      <c r="L13" s="5" t="n">
        <v>19300000</v>
      </c>
      <c r="M13" s="5" t="n">
        <v>28900000</v>
      </c>
      <c r="N13" s="5" t="n">
        <v>44700000</v>
      </c>
      <c r="O13" s="4" t="inlineStr">
        <is>
          <t>Client-defined</t>
        </is>
      </c>
      <c r="P13" s="4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13" s="4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13" s="4" t="inlineStr">
        <is>
          <t>BEA-S01, BEA-S02, BEA-S03, BEA-S04</t>
        </is>
      </c>
      <c r="S13" s="4" t="inlineStr">
        <is>
          <t>Drive upload pending</t>
        </is>
      </c>
      <c r="T13" s="4" t="inlineStr">
        <is>
          <t>v1.0</t>
        </is>
      </c>
      <c r="U13" s="4" t="inlineStr">
        <is>
          <t>Planning only</t>
        </is>
      </c>
      <c r="V13" s="1" t="n"/>
    </row>
    <row r="14" ht="46" customHeight="1">
      <c r="A14" s="1" t="n"/>
      <c r="B14" s="6" t="inlineStr">
        <is>
          <t>CMP-2026-BEAUTY-08</t>
        </is>
      </c>
      <c r="C14" s="6" t="inlineStr">
        <is>
          <t>Glow, Not Pressure</t>
        </is>
      </c>
      <c r="D14" s="6" t="inlineStr">
        <is>
          <t>ဖိအားမဟုတ်တဲ့ Glow</t>
        </is>
      </c>
      <c r="E14" s="6" t="inlineStr">
        <is>
          <t>confidence-first community workshop and moderated creator conversation</t>
        </is>
      </c>
      <c r="F14" s="6" t="inlineStr">
        <is>
          <t>Beauty messaging can unintentionally exploit insecurities or reinforce a narrow ideal.</t>
        </is>
      </c>
      <c r="G14" s="6" t="inlineStr">
        <is>
          <t>Client-approved community audience and creators; safeguarding and moderation owners TBC.</t>
        </is>
      </c>
      <c r="H14" s="6" t="inlineStr">
        <is>
          <t>A consented reflection card unlocks approved education content or a community-session registration.</t>
        </is>
      </c>
      <c r="I14" s="6" t="inlineStr">
        <is>
          <t>Beauty without the comparison</t>
        </is>
      </c>
      <c r="J14" s="6" t="inlineStr">
        <is>
          <t>Proposed community period; partners, speakers and safeguarding controls TBC.</t>
        </is>
      </c>
      <c r="K14" s="6" t="inlineStr">
        <is>
          <t>Concept ready</t>
        </is>
      </c>
      <c r="L14" s="7" t="n">
        <v>15100000</v>
      </c>
      <c r="M14" s="7" t="n">
        <v>23400000</v>
      </c>
      <c r="N14" s="7" t="n">
        <v>36500000</v>
      </c>
      <c r="O14" s="6" t="inlineStr">
        <is>
          <t>Client-defined</t>
        </is>
      </c>
      <c r="P14" s="6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14" s="6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14" s="6" t="inlineStr">
        <is>
          <t>BEA-S01, BEA-S02, BEA-S03, BEA-S04</t>
        </is>
      </c>
      <c r="S14" s="6" t="inlineStr">
        <is>
          <t>Drive upload pending</t>
        </is>
      </c>
      <c r="T14" s="6" t="inlineStr">
        <is>
          <t>v1.0</t>
        </is>
      </c>
      <c r="U14" s="6" t="inlineStr">
        <is>
          <t>Planning only</t>
        </is>
      </c>
      <c r="V14" s="1" t="n"/>
    </row>
    <row r="15" ht="46" customHeight="1">
      <c r="A15" s="1" t="n"/>
      <c r="B15" s="4" t="inlineStr">
        <is>
          <t>CMP-2026-BEAUTY-09</t>
        </is>
      </c>
      <c r="C15" s="4" t="inlineStr">
        <is>
          <t>Pack to Purpose</t>
        </is>
      </c>
      <c r="D15" s="4" t="inlineStr">
        <is>
          <t>Pack ကနေ Purpose ဆီ</t>
        </is>
      </c>
      <c r="E15" s="4" t="inlineStr">
        <is>
          <t>pack-story retail trail and product-information social carousel preparation</t>
        </is>
      </c>
      <c r="F15" s="4" t="inlineStr">
        <is>
          <t>Packaging can become only an aesthetic signal when users cannot easily find client-approved use, disposal, batch, label or care information.</t>
        </is>
      </c>
      <c r="G15" s="4" t="inlineStr">
        <is>
          <t>Retail visitors and digital product researchers; pack artwork and claims TBC.</t>
        </is>
      </c>
      <c r="H15" s="4" t="inlineStr">
        <is>
          <t>A pack-question trail leads to a client-approved information hub or retailer-assistance request.</t>
        </is>
      </c>
      <c r="I15" s="4" t="inlineStr">
        <is>
          <t>The pack can start a clearer conversation</t>
        </is>
      </c>
      <c r="J15" s="4" t="inlineStr">
        <is>
          <t>Proposed launch / relaunch window; exact pack and retailer TBC.</t>
        </is>
      </c>
      <c r="K15" s="4" t="inlineStr">
        <is>
          <t>Concept ready</t>
        </is>
      </c>
      <c r="L15" s="5" t="n">
        <v>17900000</v>
      </c>
      <c r="M15" s="5" t="n">
        <v>27600000</v>
      </c>
      <c r="N15" s="5" t="n">
        <v>42400000</v>
      </c>
      <c r="O15" s="4" t="inlineStr">
        <is>
          <t>Client-defined</t>
        </is>
      </c>
      <c r="P15" s="4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15" s="4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15" s="4" t="inlineStr">
        <is>
          <t>BEA-S01, BEA-S02, BEA-S03, BEA-S04</t>
        </is>
      </c>
      <c r="S15" s="4" t="inlineStr">
        <is>
          <t>Drive upload pending</t>
        </is>
      </c>
      <c r="T15" s="4" t="inlineStr">
        <is>
          <t>v1.0</t>
        </is>
      </c>
      <c r="U15" s="4" t="inlineStr">
        <is>
          <t>Planning only</t>
        </is>
      </c>
      <c r="V15" s="1" t="n"/>
    </row>
    <row r="16" ht="46" customHeight="1">
      <c r="A16" s="1" t="n"/>
      <c r="B16" s="6" t="inlineStr">
        <is>
          <t>CMP-2026-BEAUTY-10</t>
        </is>
      </c>
      <c r="C16" s="6" t="inlineStr">
        <is>
          <t>The Next Routine</t>
        </is>
      </c>
      <c r="D16" s="6" t="inlineStr">
        <is>
          <t>နောက်တစ်ကြိမ် Routine</t>
        </is>
      </c>
      <c r="E16" s="6" t="inlineStr">
        <is>
          <t>consented CRM re-engagement and TikTok/organic content testing sprint</t>
        </is>
      </c>
      <c r="F16" s="6" t="inlineStr">
        <is>
          <t>Past customers may have a changing routine, but reactivation can become intrusive when consent, contact rights and product facts are unclear.</t>
        </is>
      </c>
      <c r="G16" s="6" t="inlineStr">
        <is>
          <t>Client-owned, consented contacts only; CRM rights, segmentation and messaging TBC.</t>
        </is>
      </c>
      <c r="H16" s="6" t="inlineStr">
        <is>
          <t>A three-choice re-engagement message—learn, revisit, pause—routes to a client-approved information or booking flow.</t>
        </is>
      </c>
      <c r="I16" s="6" t="inlineStr">
        <is>
          <t>The next routine starts with permission</t>
        </is>
      </c>
      <c r="J16" s="6" t="inlineStr">
        <is>
          <t>Proposed post-purchase or relaunch window; customer-data rights TBC.</t>
        </is>
      </c>
      <c r="K16" s="6" t="inlineStr">
        <is>
          <t>Concept ready</t>
        </is>
      </c>
      <c r="L16" s="7" t="n">
        <v>10800000</v>
      </c>
      <c r="M16" s="7" t="n">
        <v>16900000</v>
      </c>
      <c r="N16" s="7" t="n">
        <v>26500000</v>
      </c>
      <c r="O16" s="6" t="inlineStr">
        <is>
          <t>Client-defined</t>
        </is>
      </c>
      <c r="P16" s="6" t="inlineStr">
        <is>
          <t>Client-approved reach / qualified exposure definition; Content completion or save signal by approved platform analytics; Consented information, booking or retailer-assistance requests; Moderation/escalation response compliance; No unapproved claim, rights, privacy or safety incident</t>
        </is>
      </c>
      <c r="Q16" s="6" t="inlineStr">
        <is>
          <t>Client factual product and permitted-claims brief ; Myanmar FDA/regulatory and legal review as applicable ; Product label/pack, ingredient, price, availability and retailer facts ; Venue, hygiene/sampling/accessibility and operational safety plan where relevant ; Creator, talent, music, user-generated content and platform rights ; Social/TikTok account access, policy eligibility, moderation and data/privacy approval</t>
        </is>
      </c>
      <c r="R16" s="6" t="inlineStr">
        <is>
          <t>BEA-S01, BEA-S02, BEA-S03, BEA-S04</t>
        </is>
      </c>
      <c r="S16" s="6" t="inlineStr">
        <is>
          <t>Drive upload pending</t>
        </is>
      </c>
      <c r="T16" s="6" t="inlineStr">
        <is>
          <t>v1.0</t>
        </is>
      </c>
      <c r="U16" s="6" t="inlineStr">
        <is>
          <t>Planning only</t>
        </is>
      </c>
      <c r="V16" s="1" t="n"/>
    </row>
  </sheetData>
  <autoFilter ref="B6:U16"/>
  <mergeCells count="2">
    <mergeCell ref="B3:V3"/>
    <mergeCell ref="B2:V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9" customWidth="1" min="2" max="2"/>
    <col width="25" customWidth="1" min="3" max="3"/>
    <col width="26" customWidth="1" min="4" max="4"/>
    <col width="44" customWidth="1" min="5" max="5"/>
    <col width="48" customWidth="1" min="6" max="6"/>
    <col width="38" customWidth="1" min="7" max="7"/>
    <col width="16" customWidth="1" min="8" max="8"/>
    <col width="28" customWidth="1" min="9" max="9"/>
    <col width="34" customWidth="1" min="10" max="10"/>
    <col width="25" customWidth="1" min="11" max="11"/>
    <col width="14" customWidth="1" min="12" max="12"/>
    <col width="25" customWidth="1" min="13" max="13"/>
    <col width="22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1" t="n"/>
      <c r="B2" s="1" t="inlineStr">
        <is>
          <t>Social Media &amp; TikTok Preparation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8" customHeight="1">
      <c r="A3" s="1" t="n"/>
      <c r="B3" s="1" t="inlineStr">
        <is>
          <t>A preparation workstream within each campaign. It must be approved before any organic/paid/creator/UGC/action.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30" customHeight="1">
      <c r="A6" s="1" t="n"/>
      <c r="B6" s="3" t="inlineStr">
        <is>
          <t>Campaign ID</t>
        </is>
      </c>
      <c r="C6" s="3" t="inlineStr">
        <is>
          <t>Campaign</t>
        </is>
      </c>
      <c r="D6" s="3" t="inlineStr">
        <is>
          <t>Channel role</t>
        </is>
      </c>
      <c r="E6" s="3" t="inlineStr">
        <is>
          <t>Organic preparation</t>
        </is>
      </c>
      <c r="F6" s="3" t="inlineStr">
        <is>
          <t>TikTok-specific preparation</t>
        </is>
      </c>
      <c r="G6" s="3" t="inlineStr">
        <is>
          <t>Measurement preparation</t>
        </is>
      </c>
      <c r="H6" s="3" t="inlineStr">
        <is>
          <t>Status</t>
        </is>
      </c>
      <c r="I6" s="3" t="inlineStr">
        <is>
          <t>Required gate</t>
        </is>
      </c>
      <c r="J6" s="3" t="inlineStr">
        <is>
          <t>Control statement</t>
        </is>
      </c>
      <c r="K6" s="3" t="inlineStr">
        <is>
          <t>Owner</t>
        </is>
      </c>
      <c r="L6" s="3" t="inlineStr">
        <is>
          <t>Version</t>
        </is>
      </c>
      <c r="M6" s="3" t="inlineStr">
        <is>
          <t>Latest artifact</t>
        </is>
      </c>
      <c r="N6" s="3" t="inlineStr">
        <is>
          <t>Notes</t>
        </is>
      </c>
      <c r="O6" s="1" t="n"/>
      <c r="P6" s="1" t="n"/>
      <c r="Q6" s="1" t="n"/>
    </row>
    <row r="7" ht="46" customHeight="1">
      <c r="A7" s="1" t="n"/>
      <c r="B7" s="4" t="inlineStr">
        <is>
          <t>CMP-2026-BEAUTY-01</t>
        </is>
      </c>
      <c r="C7" s="4" t="inlineStr">
        <is>
          <t>Ingredient Listening Bar</t>
        </is>
      </c>
      <c r="D7" s="4" t="inlineStr">
        <is>
          <t>question-led product literacy</t>
        </is>
      </c>
      <c r="E7" s="4" t="inlineStr">
        <is>
          <t>Burmese-first explainer cards; comment FAQ triage; approved “what we can/cannot say” content bank.</t>
        </is>
      </c>
      <c r="F7" s="4" t="inlineStr">
        <is>
          <t>5 hook tests: ingredient question, myth/limit, label close-up, ask-the-expert prompt, retail-card reveal. No efficacy claim or product demonstration without approval.</t>
        </is>
      </c>
      <c r="G7" s="4" t="inlineStr">
        <is>
          <t>Organic save/share/comment signals; approved FAQ completion; consented consultation requests.</t>
        </is>
      </c>
      <c r="H7" s="4" t="inlineStr">
        <is>
          <t>Not started</t>
        </is>
      </c>
      <c r="I7" s="4" t="inlineStr">
        <is>
          <t>G1 facts/claims + G4 rights/privacy/policy</t>
        </is>
      </c>
      <c r="J7" s="4" t="inlineStr">
        <is>
          <t>No publication or paid distribution authorised</t>
        </is>
      </c>
      <c r="K7" s="4" t="inlineStr">
        <is>
          <t>Client social / legal / data owner</t>
        </is>
      </c>
      <c r="L7" s="4" t="inlineStr">
        <is>
          <t>v1.0</t>
        </is>
      </c>
      <c r="M7" s="4" t="inlineStr">
        <is>
          <t>Drive upload pending</t>
        </is>
      </c>
      <c r="N7" s="4" t="inlineStr">
        <is>
          <t>Planning only</t>
        </is>
      </c>
      <c r="O7" s="1" t="n"/>
      <c r="P7" s="1" t="n"/>
      <c r="Q7" s="1" t="n"/>
    </row>
    <row r="8" ht="46" customHeight="1">
      <c r="A8" s="1" t="n"/>
      <c r="B8" s="6" t="inlineStr">
        <is>
          <t>CMP-2026-BEAUTY-02</t>
        </is>
      </c>
      <c r="C8" s="6" t="inlineStr">
        <is>
          <t>My Routine, My Rhythm</t>
        </is>
      </c>
      <c r="D8" s="6" t="inlineStr">
        <is>
          <t>routine education</t>
        </is>
      </c>
      <c r="E8" s="6" t="inlineStr">
        <is>
          <t>Seven daily routine prompts, static carousel recap, community reminder and client-approved link hub.</t>
        </is>
      </c>
      <c r="F8" s="6" t="inlineStr">
        <is>
          <t>Seven 15–30 second “day in the routine” prompts; creator/content talent TBC; no before/after, diagnosis or routine-fit assertion.</t>
        </is>
      </c>
      <c r="G8" s="6" t="inlineStr">
        <is>
          <t>Completed learning cards; opt-in reminder rate; approved appointment/retailer-information requests.</t>
        </is>
      </c>
      <c r="H8" s="6" t="inlineStr">
        <is>
          <t>Not started</t>
        </is>
      </c>
      <c r="I8" s="6" t="inlineStr">
        <is>
          <t>G1 facts/claims + G4 rights/privacy/policy</t>
        </is>
      </c>
      <c r="J8" s="6" t="inlineStr">
        <is>
          <t>No publication or paid distribution authorised</t>
        </is>
      </c>
      <c r="K8" s="6" t="inlineStr">
        <is>
          <t>Client social / legal / data owner</t>
        </is>
      </c>
      <c r="L8" s="6" t="inlineStr">
        <is>
          <t>v1.0</t>
        </is>
      </c>
      <c r="M8" s="6" t="inlineStr">
        <is>
          <t>Drive upload pending</t>
        </is>
      </c>
      <c r="N8" s="6" t="inlineStr">
        <is>
          <t>Planning only</t>
        </is>
      </c>
      <c r="O8" s="1" t="n"/>
      <c r="P8" s="1" t="n"/>
      <c r="Q8" s="1" t="n"/>
    </row>
    <row r="9" ht="46" customHeight="1">
      <c r="A9" s="1" t="n"/>
      <c r="B9" s="4" t="inlineStr">
        <is>
          <t>CMP-2026-BEAUTY-03</t>
        </is>
      </c>
      <c r="C9" s="4" t="inlineStr">
        <is>
          <t>Shade Story Studio</t>
        </is>
      </c>
      <c r="D9" s="4" t="inlineStr">
        <is>
          <t>self-expression and shade vocabulary</t>
        </is>
      </c>
      <c r="E9" s="4" t="inlineStr">
        <is>
          <t>Moodboard posts, client-approved pack/visual mock-ups and creator briefing kit.</t>
        </is>
      </c>
      <c r="F9" s="4" t="inlineStr">
        <is>
          <t>Vertical transitions built from “mood → language → choice” rather than real shade matching; creator/talent, range and rights TBC.</t>
        </is>
      </c>
      <c r="G9" s="4" t="inlineStr">
        <is>
          <t>Creator-brief completion; content-save rate; consented studio booking or information request.</t>
        </is>
      </c>
      <c r="H9" s="4" t="inlineStr">
        <is>
          <t>Not started</t>
        </is>
      </c>
      <c r="I9" s="4" t="inlineStr">
        <is>
          <t>G1 facts/claims + G4 rights/privacy/policy</t>
        </is>
      </c>
      <c r="J9" s="4" t="inlineStr">
        <is>
          <t>No publication or paid distribution authorised</t>
        </is>
      </c>
      <c r="K9" s="4" t="inlineStr">
        <is>
          <t>Client social / legal / data owner</t>
        </is>
      </c>
      <c r="L9" s="4" t="inlineStr">
        <is>
          <t>v1.0</t>
        </is>
      </c>
      <c r="M9" s="4" t="inlineStr">
        <is>
          <t>Drive upload pending</t>
        </is>
      </c>
      <c r="N9" s="4" t="inlineStr">
        <is>
          <t>Planning only</t>
        </is>
      </c>
      <c r="O9" s="1" t="n"/>
      <c r="P9" s="1" t="n"/>
      <c r="Q9" s="1" t="n"/>
    </row>
    <row r="10" ht="46" customHeight="1">
      <c r="A10" s="1" t="n"/>
      <c r="B10" s="6" t="inlineStr">
        <is>
          <t>CMP-2026-BEAUTY-04</t>
        </is>
      </c>
      <c r="C10" s="6" t="inlineStr">
        <is>
          <t>The 60-Second Reset</t>
        </is>
      </c>
      <c r="D10" s="6" t="inlineStr">
        <is>
          <t>slow beauty reset</t>
        </is>
      </c>
      <c r="E10" s="6" t="inlineStr">
        <is>
          <t>Short captions, story polls and a moderation playbook for routine questions.</t>
        </is>
      </c>
      <c r="F10" s="6" t="inlineStr">
        <is>
          <t>Six 60-second reset variants: desk, commute, evening, weekend, weather, gentle pause; no result/benefit claim.</t>
        </is>
      </c>
      <c r="G10" s="6" t="inlineStr">
        <is>
          <t>Video completion; approved poll participation; opt-in education reminders.</t>
        </is>
      </c>
      <c r="H10" s="6" t="inlineStr">
        <is>
          <t>Not started</t>
        </is>
      </c>
      <c r="I10" s="6" t="inlineStr">
        <is>
          <t>G1 facts/claims + G4 rights/privacy/policy</t>
        </is>
      </c>
      <c r="J10" s="6" t="inlineStr">
        <is>
          <t>No publication or paid distribution authorised</t>
        </is>
      </c>
      <c r="K10" s="6" t="inlineStr">
        <is>
          <t>Client social / legal / data owner</t>
        </is>
      </c>
      <c r="L10" s="6" t="inlineStr">
        <is>
          <t>v1.0</t>
        </is>
      </c>
      <c r="M10" s="6" t="inlineStr">
        <is>
          <t>Drive upload pending</t>
        </is>
      </c>
      <c r="N10" s="6" t="inlineStr">
        <is>
          <t>Planning only</t>
        </is>
      </c>
      <c r="O10" s="1" t="n"/>
      <c r="P10" s="1" t="n"/>
      <c r="Q10" s="1" t="n"/>
    </row>
    <row r="11" ht="46" customHeight="1">
      <c r="A11" s="1" t="n"/>
      <c r="B11" s="4" t="inlineStr">
        <is>
          <t>CMP-2026-BEAUTY-05</t>
        </is>
      </c>
      <c r="C11" s="4" t="inlineStr">
        <is>
          <t>Refill With Intention</t>
        </is>
      </c>
      <c r="D11" s="4" t="inlineStr">
        <is>
          <t>informed aftercare</t>
        </is>
      </c>
      <c r="E11" s="4" t="inlineStr">
        <is>
          <t>Care/disposal/refill education posts, customer-service response tree and proposed/TBC collection FAQ.</t>
        </is>
      </c>
      <c r="F11" s="4" t="inlineStr">
        <is>
          <t>Return/refill question hooks, pack-care close-ups and “what to verify first” clips; availability/terms remain TBC.</t>
        </is>
      </c>
      <c r="G11" s="4" t="inlineStr">
        <is>
          <t>Approved information-hub visits; pledge opt-ins; client-validated collection enquiries.</t>
        </is>
      </c>
      <c r="H11" s="4" t="inlineStr">
        <is>
          <t>Not started</t>
        </is>
      </c>
      <c r="I11" s="4" t="inlineStr">
        <is>
          <t>G1 facts/claims + G4 rights/privacy/policy</t>
        </is>
      </c>
      <c r="J11" s="4" t="inlineStr">
        <is>
          <t>No publication or paid distribution authorised</t>
        </is>
      </c>
      <c r="K11" s="4" t="inlineStr">
        <is>
          <t>Client social / legal / data owner</t>
        </is>
      </c>
      <c r="L11" s="4" t="inlineStr">
        <is>
          <t>v1.0</t>
        </is>
      </c>
      <c r="M11" s="4" t="inlineStr">
        <is>
          <t>Drive upload pending</t>
        </is>
      </c>
      <c r="N11" s="4" t="inlineStr">
        <is>
          <t>Planning only</t>
        </is>
      </c>
      <c r="O11" s="1" t="n"/>
      <c r="P11" s="1" t="n"/>
      <c r="Q11" s="1" t="n"/>
    </row>
    <row r="12" ht="46" customHeight="1">
      <c r="A12" s="1" t="n"/>
      <c r="B12" s="6" t="inlineStr">
        <is>
          <t>CMP-2026-BEAUTY-06</t>
        </is>
      </c>
      <c r="C12" s="6" t="inlineStr">
        <is>
          <t>Beauty Desk After Dark</t>
        </is>
      </c>
      <c r="D12" s="6" t="inlineStr">
        <is>
          <t>quiet consultation</t>
        </is>
      </c>
      <c r="E12" s="6" t="inlineStr">
        <is>
          <t>Evening reminder posts, consent language, service-scope FAQ and controlled message response map.</t>
        </is>
      </c>
      <c r="F12" s="6" t="inlineStr">
        <is>
          <t>Calm evening desk scenes and question prompts; no treatment/diagnosis narrative, staff/venue TBC.</t>
        </is>
      </c>
      <c r="G12" s="6" t="inlineStr">
        <is>
          <t>Qualified consented hand-raises; booked client-approved routine conversations; response SLA compliance.</t>
        </is>
      </c>
      <c r="H12" s="6" t="inlineStr">
        <is>
          <t>Not started</t>
        </is>
      </c>
      <c r="I12" s="6" t="inlineStr">
        <is>
          <t>G1 facts/claims + G4 rights/privacy/policy</t>
        </is>
      </c>
      <c r="J12" s="6" t="inlineStr">
        <is>
          <t>No publication or paid distribution authorised</t>
        </is>
      </c>
      <c r="K12" s="6" t="inlineStr">
        <is>
          <t>Client social / legal / data owner</t>
        </is>
      </c>
      <c r="L12" s="6" t="inlineStr">
        <is>
          <t>v1.0</t>
        </is>
      </c>
      <c r="M12" s="6" t="inlineStr">
        <is>
          <t>Drive upload pending</t>
        </is>
      </c>
      <c r="N12" s="6" t="inlineStr">
        <is>
          <t>Planning only</t>
        </is>
      </c>
      <c r="O12" s="1" t="n"/>
      <c r="P12" s="1" t="n"/>
      <c r="Q12" s="1" t="n"/>
    </row>
    <row r="13" ht="46" customHeight="1">
      <c r="A13" s="1" t="n"/>
      <c r="B13" s="4" t="inlineStr">
        <is>
          <t>CMP-2026-BEAUTY-07</t>
        </is>
      </c>
      <c r="C13" s="4" t="inlineStr">
        <is>
          <t>The Texture Library</t>
        </is>
      </c>
      <c r="D13" s="4" t="inlineStr">
        <is>
          <t>texture literacy</t>
        </is>
      </c>
      <c r="E13" s="4" t="inlineStr">
        <is>
          <t>Macro-texture stills, hygiene process explainer and content usage-rights register.</t>
        </is>
      </c>
      <c r="F13" s="4" t="inlineStr">
        <is>
          <t>Macro visual hooks around fictional/non-product texture cards; real product, handling, product facts and claims TBC.</t>
        </is>
      </c>
      <c r="G13" s="4" t="inlineStr">
        <is>
          <t>Macro-content completion; approved information requests; hygiene-question resolution.</t>
        </is>
      </c>
      <c r="H13" s="4" t="inlineStr">
        <is>
          <t>Not started</t>
        </is>
      </c>
      <c r="I13" s="4" t="inlineStr">
        <is>
          <t>G1 facts/claims + G4 rights/privacy/policy</t>
        </is>
      </c>
      <c r="J13" s="4" t="inlineStr">
        <is>
          <t>No publication or paid distribution authorised</t>
        </is>
      </c>
      <c r="K13" s="4" t="inlineStr">
        <is>
          <t>Client social / legal / data owner</t>
        </is>
      </c>
      <c r="L13" s="4" t="inlineStr">
        <is>
          <t>v1.0</t>
        </is>
      </c>
      <c r="M13" s="4" t="inlineStr">
        <is>
          <t>Drive upload pending</t>
        </is>
      </c>
      <c r="N13" s="4" t="inlineStr">
        <is>
          <t>Planning only</t>
        </is>
      </c>
      <c r="O13" s="1" t="n"/>
      <c r="P13" s="1" t="n"/>
      <c r="Q13" s="1" t="n"/>
    </row>
    <row r="14" ht="46" customHeight="1">
      <c r="A14" s="1" t="n"/>
      <c r="B14" s="6" t="inlineStr">
        <is>
          <t>CMP-2026-BEAUTY-08</t>
        </is>
      </c>
      <c r="C14" s="6" t="inlineStr">
        <is>
          <t>Glow, Not Pressure</t>
        </is>
      </c>
      <c r="D14" s="6" t="inlineStr">
        <is>
          <t>confidence and safeguarding</t>
        </is>
      </c>
      <c r="E14" s="6" t="inlineStr">
        <is>
          <t>Positive community prompts, moderation matrices and creator safety briefing.</t>
        </is>
      </c>
      <c r="F14" s="6" t="inlineStr">
        <is>
          <t>Creator-led “one thing I choose for myself” formats; no body shaming, insecurity exploitation or testimonials.</t>
        </is>
      </c>
      <c r="G14" s="6" t="inlineStr">
        <is>
          <t>Moderation response time; safety incidents logged; consented workshop registrations.</t>
        </is>
      </c>
      <c r="H14" s="6" t="inlineStr">
        <is>
          <t>Not started</t>
        </is>
      </c>
      <c r="I14" s="6" t="inlineStr">
        <is>
          <t>G1 facts/claims + G4 rights/privacy/policy</t>
        </is>
      </c>
      <c r="J14" s="6" t="inlineStr">
        <is>
          <t>No publication or paid distribution authorised</t>
        </is>
      </c>
      <c r="K14" s="6" t="inlineStr">
        <is>
          <t>Client social / legal / data owner</t>
        </is>
      </c>
      <c r="L14" s="6" t="inlineStr">
        <is>
          <t>v1.0</t>
        </is>
      </c>
      <c r="M14" s="6" t="inlineStr">
        <is>
          <t>Drive upload pending</t>
        </is>
      </c>
      <c r="N14" s="6" t="inlineStr">
        <is>
          <t>Planning only</t>
        </is>
      </c>
      <c r="O14" s="1" t="n"/>
      <c r="P14" s="1" t="n"/>
      <c r="Q14" s="1" t="n"/>
    </row>
    <row r="15" ht="46" customHeight="1">
      <c r="A15" s="1" t="n"/>
      <c r="B15" s="4" t="inlineStr">
        <is>
          <t>CMP-2026-BEAUTY-09</t>
        </is>
      </c>
      <c r="C15" s="4" t="inlineStr">
        <is>
          <t>Pack to Purpose</t>
        </is>
      </c>
      <c r="D15" s="4" t="inlineStr">
        <is>
          <t>pack literacy</t>
        </is>
      </c>
      <c r="E15" s="4" t="inlineStr">
        <is>
          <t>Bilingual pack-reading carousel, retailer help routing and product-fact approval checklist.</t>
        </is>
      </c>
      <c r="F15" s="4" t="inlineStr">
        <is>
          <t>Pack-detail videos explain “read / confirm / ask” through mock packs; real labels and claims require approval.</t>
        </is>
      </c>
      <c r="G15" s="4" t="inlineStr">
        <is>
          <t>Carousel saves; approved information-hub visits; retailer-assistance requests.</t>
        </is>
      </c>
      <c r="H15" s="4" t="inlineStr">
        <is>
          <t>Not started</t>
        </is>
      </c>
      <c r="I15" s="4" t="inlineStr">
        <is>
          <t>G1 facts/claims + G4 rights/privacy/policy</t>
        </is>
      </c>
      <c r="J15" s="4" t="inlineStr">
        <is>
          <t>No publication or paid distribution authorised</t>
        </is>
      </c>
      <c r="K15" s="4" t="inlineStr">
        <is>
          <t>Client social / legal / data owner</t>
        </is>
      </c>
      <c r="L15" s="4" t="inlineStr">
        <is>
          <t>v1.0</t>
        </is>
      </c>
      <c r="M15" s="4" t="inlineStr">
        <is>
          <t>Drive upload pending</t>
        </is>
      </c>
      <c r="N15" s="4" t="inlineStr">
        <is>
          <t>Planning only</t>
        </is>
      </c>
      <c r="O15" s="1" t="n"/>
      <c r="P15" s="1" t="n"/>
      <c r="Q15" s="1" t="n"/>
    </row>
    <row r="16" ht="46" customHeight="1">
      <c r="A16" s="1" t="n"/>
      <c r="B16" s="6" t="inlineStr">
        <is>
          <t>CMP-2026-BEAUTY-10</t>
        </is>
      </c>
      <c r="C16" s="6" t="inlineStr">
        <is>
          <t>The Next Routine</t>
        </is>
      </c>
      <c r="D16" s="6" t="inlineStr">
        <is>
          <t>permission-based re-engagement</t>
        </is>
      </c>
      <c r="E16" s="6" t="inlineStr">
        <is>
          <t>Client-owned CRM message variants, privacy/consent check and editorial test register.</t>
        </is>
      </c>
      <c r="F16" s="6" t="inlineStr">
        <is>
          <t>Three message-led vertical variants: learn, revisit, pause; no profile inference, personal data exposure or price/availability claim.</t>
        </is>
      </c>
      <c r="G16" s="6" t="inlineStr">
        <is>
          <t>Valid consent rate; opt-out processing; qualified re-engagement actions, not purchases.</t>
        </is>
      </c>
      <c r="H16" s="6" t="inlineStr">
        <is>
          <t>Not started</t>
        </is>
      </c>
      <c r="I16" s="6" t="inlineStr">
        <is>
          <t>G1 facts/claims + G4 rights/privacy/policy</t>
        </is>
      </c>
      <c r="J16" s="6" t="inlineStr">
        <is>
          <t>No publication or paid distribution authorised</t>
        </is>
      </c>
      <c r="K16" s="6" t="inlineStr">
        <is>
          <t>Client social / legal / data owner</t>
        </is>
      </c>
      <c r="L16" s="6" t="inlineStr">
        <is>
          <t>v1.0</t>
        </is>
      </c>
      <c r="M16" s="6" t="inlineStr">
        <is>
          <t>Drive upload pending</t>
        </is>
      </c>
      <c r="N16" s="6" t="inlineStr">
        <is>
          <t>Planning only</t>
        </is>
      </c>
      <c r="O16" s="1" t="n"/>
      <c r="P16" s="1" t="n"/>
      <c r="Q16" s="1" t="n"/>
    </row>
  </sheetData>
  <autoFilter ref="B6:N16"/>
  <mergeCells count="2">
    <mergeCell ref="B2:Q2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9" customWidth="1" min="2" max="2"/>
    <col width="28" customWidth="1" min="3" max="3"/>
    <col width="29" customWidth="1" min="4" max="4"/>
    <col width="25" customWidth="1" min="5" max="5"/>
    <col width="20" customWidth="1" min="6" max="6"/>
    <col width="34" customWidth="1" min="7" max="7"/>
    <col width="34" customWidth="1" min="8" max="8"/>
    <col width="30" customWidth="1" min="9" max="9"/>
    <col width="34" customWidth="1" min="10" max="10"/>
    <col width="30" customWidth="1" min="11" max="11"/>
    <col width="32" customWidth="1" min="12" max="12"/>
    <col width="12" customWidth="1" min="13" max="13"/>
    <col width="22" customWidth="1" min="14" max="14"/>
    <col width="52" customWidth="1" min="15" max="15"/>
    <col width="25" customWidth="1" min="16" max="16"/>
    <col width="14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1" t="inlineStr">
        <is>
          <t>Standalone Commercial &amp; Storyboard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8" customHeight="1">
      <c r="A3" s="1" t="n"/>
      <c r="B3" s="1" t="inlineStr">
        <is>
          <t>COM records remain separate from linked campaign, including production, social versioning and rights decisions.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30" customHeight="1">
      <c r="A6" s="1" t="n"/>
      <c r="B6" s="3" t="inlineStr">
        <is>
          <t>Commercial ID</t>
        </is>
      </c>
      <c r="C6" s="3" t="inlineStr">
        <is>
          <t>Title</t>
        </is>
      </c>
      <c r="D6" s="3" t="inlineStr">
        <is>
          <t>Myanmar title</t>
        </is>
      </c>
      <c r="E6" s="3" t="inlineStr">
        <is>
          <t>Format</t>
        </is>
      </c>
      <c r="F6" s="3" t="inlineStr">
        <is>
          <t>Linked campaign</t>
        </is>
      </c>
      <c r="G6" s="3" t="inlineStr">
        <is>
          <t>Tension</t>
        </is>
      </c>
      <c r="H6" s="3" t="inlineStr">
        <is>
          <t>Objective</t>
        </is>
      </c>
      <c r="I6" s="3" t="inlineStr">
        <is>
          <t>Creative territory</t>
        </is>
      </c>
      <c r="J6" s="3" t="inlineStr">
        <is>
          <t>Hook</t>
        </is>
      </c>
      <c r="K6" s="3" t="inlineStr">
        <is>
          <t>CTA</t>
        </is>
      </c>
      <c r="L6" s="3" t="inlineStr">
        <is>
          <t>Storyboard status</t>
        </is>
      </c>
      <c r="M6" s="3" t="inlineStr">
        <is>
          <t>Frames</t>
        </is>
      </c>
      <c r="N6" s="3" t="inlineStr">
        <is>
          <t>Status</t>
        </is>
      </c>
      <c r="O6" s="3" t="inlineStr">
        <is>
          <t>Production gate</t>
        </is>
      </c>
      <c r="P6" s="3" t="inlineStr">
        <is>
          <t>Latest artifact</t>
        </is>
      </c>
      <c r="Q6" s="3" t="inlineStr">
        <is>
          <t>Current version</t>
        </is>
      </c>
      <c r="R6" s="1" t="n"/>
    </row>
    <row r="7" ht="46" customHeight="1">
      <c r="A7" s="1" t="n"/>
      <c r="B7" s="4" t="inlineStr">
        <is>
          <t>COM-2026-BEAUTY-01</t>
        </is>
      </c>
      <c r="C7" s="4" t="inlineStr">
        <is>
          <t>The Question in the Mirror</t>
        </is>
      </c>
      <c r="D7" s="4" t="inlineStr">
        <is>
          <t>မှန်ရှေ့က မေးခွန်း</t>
        </is>
      </c>
      <c r="E7" s="4" t="inlineStr">
        <is>
          <t>brand education film</t>
        </is>
      </c>
      <c r="F7" s="4" t="inlineStr">
        <is>
          <t>CMP-2026-BEAUTY-01</t>
        </is>
      </c>
      <c r="G7" s="4" t="inlineStr">
        <is>
          <t>Beauty shoppers may see ingredient language without a brand-approved way to ask what a product is, is not, and requires them to verify.</t>
        </is>
      </c>
      <c r="H7" s="4" t="inlineStr">
        <is>
          <t>Create a brand-safe, bilingual storytelling direction that supports an approved campaign route; no product, treatment, efficacy, safety, diagnostic, price, availability or outcome claim.</t>
        </is>
      </c>
      <c r="I7" s="4" t="inlineStr">
        <is>
          <t>A better beauty decision starts with a permitted question</t>
        </is>
      </c>
      <c r="J7" s="4" t="inlineStr">
        <is>
          <t>A mirror fogs with vague claims; one clear question reveals a calm, client-approved information path.</t>
        </is>
      </c>
      <c r="K7" s="4" t="inlineStr">
        <is>
          <t>Client-approved CTA required</t>
        </is>
      </c>
      <c r="L7" s="4" t="inlineStr">
        <is>
          <t>12-frame detailed storyboard complete</t>
        </is>
      </c>
      <c r="M7" s="4" t="n">
        <v>12</v>
      </c>
      <c r="N7" s="4" t="inlineStr">
        <is>
          <t>Concept storyboard ready</t>
        </is>
      </c>
      <c r="O7" s="4" t="inlineStr">
        <is>
          <t>G5 product facts, claims, cast, locations, rights, music, subtitles, social versions, safety and privacy</t>
        </is>
      </c>
      <c r="P7" s="4" t="inlineStr">
        <is>
          <t>Drive upload pending</t>
        </is>
      </c>
      <c r="Q7" s="4" t="inlineStr">
        <is>
          <t>v1.0</t>
        </is>
      </c>
      <c r="R7" s="1" t="n"/>
    </row>
    <row r="8" ht="46" customHeight="1">
      <c r="A8" s="1" t="n"/>
      <c r="B8" s="6" t="inlineStr">
        <is>
          <t>COM-2026-BEAUTY-02</t>
        </is>
      </c>
      <c r="C8" s="6" t="inlineStr">
        <is>
          <t>Seven Small Moments</t>
        </is>
      </c>
      <c r="D8" s="6" t="inlineStr">
        <is>
          <t>အသေးစိတ် အချိန် ၇ ချက်</t>
        </is>
      </c>
      <c r="E8" s="6" t="inlineStr">
        <is>
          <t>routine film</t>
        </is>
      </c>
      <c r="F8" s="6" t="inlineStr">
        <is>
          <t>CMP-2026-BEAUTY-02</t>
        </is>
      </c>
      <c r="G8" s="6" t="inlineStr">
        <is>
          <t>A product shelf can feel like a list of promises rather than a calm, client-verified routine conversation.</t>
        </is>
      </c>
      <c r="H8" s="6" t="inlineStr">
        <is>
          <t>Create a brand-safe, bilingual storytelling direction that supports an approved campaign route; no product, treatment, efficacy, safety, diagnostic, price, availability or outcome claim.</t>
        </is>
      </c>
      <c r="I8" s="6" t="inlineStr">
        <is>
          <t>A routine is built from small, chosen moments</t>
        </is>
      </c>
      <c r="J8" s="6" t="inlineStr">
        <is>
          <t>Seven ordinary pauses become a fictional routine map rather than a promise of transformation.</t>
        </is>
      </c>
      <c r="K8" s="6" t="inlineStr">
        <is>
          <t>Client-approved CTA required</t>
        </is>
      </c>
      <c r="L8" s="6" t="inlineStr">
        <is>
          <t>12-frame detailed storyboard complete</t>
        </is>
      </c>
      <c r="M8" s="6" t="n">
        <v>12</v>
      </c>
      <c r="N8" s="6" t="inlineStr">
        <is>
          <t>Concept storyboard ready</t>
        </is>
      </c>
      <c r="O8" s="6" t="inlineStr">
        <is>
          <t>G5 product facts, claims, cast, locations, rights, music, subtitles, social versions, safety and privacy</t>
        </is>
      </c>
      <c r="P8" s="6" t="inlineStr">
        <is>
          <t>Drive upload pending</t>
        </is>
      </c>
      <c r="Q8" s="6" t="inlineStr">
        <is>
          <t>v1.0</t>
        </is>
      </c>
      <c r="R8" s="1" t="n"/>
    </row>
    <row r="9" ht="46" customHeight="1">
      <c r="A9" s="1" t="n"/>
      <c r="B9" s="4" t="inlineStr">
        <is>
          <t>COM-2026-BEAUTY-03</t>
        </is>
      </c>
      <c r="C9" s="4" t="inlineStr">
        <is>
          <t>A Colour With a Voice</t>
        </is>
      </c>
      <c r="D9" s="4" t="inlineStr">
        <is>
          <t>အသံရှိတဲ့ အရောင်</t>
        </is>
      </c>
      <c r="E9" s="4" t="inlineStr">
        <is>
          <t>self-expression film</t>
        </is>
      </c>
      <c r="F9" s="4" t="inlineStr">
        <is>
          <t>CMP-2026-BEAUTY-03</t>
        </is>
      </c>
      <c r="G9" s="4" t="inlineStr">
        <is>
          <t>Makeup choice can become performative when shoppers feel they must copy a trend instead of describing a preferred look.</t>
        </is>
      </c>
      <c r="H9" s="4" t="inlineStr">
        <is>
          <t>Create a brand-safe, bilingual storytelling direction that supports an approved campaign route; no product, treatment, efficacy, safety, diagnostic, price, availability or outcome claim.</t>
        </is>
      </c>
      <c r="I9" s="4" t="inlineStr">
        <is>
          <t>A shade can begin with a feeling, not a rule</t>
        </is>
      </c>
      <c r="J9" s="4" t="inlineStr">
        <is>
          <t>Hands collect colour words and arrange a mood board; no real shade match or product claim is shown.</t>
        </is>
      </c>
      <c r="K9" s="4" t="inlineStr">
        <is>
          <t>Client-approved CTA required</t>
        </is>
      </c>
      <c r="L9" s="4" t="inlineStr">
        <is>
          <t>12-frame detailed storyboard complete</t>
        </is>
      </c>
      <c r="M9" s="4" t="n">
        <v>12</v>
      </c>
      <c r="N9" s="4" t="inlineStr">
        <is>
          <t>Concept storyboard ready</t>
        </is>
      </c>
      <c r="O9" s="4" t="inlineStr">
        <is>
          <t>G5 product facts, claims, cast, locations, rights, music, subtitles, social versions, safety and privacy</t>
        </is>
      </c>
      <c r="P9" s="4" t="inlineStr">
        <is>
          <t>Drive upload pending</t>
        </is>
      </c>
      <c r="Q9" s="4" t="inlineStr">
        <is>
          <t>v1.0</t>
        </is>
      </c>
      <c r="R9" s="1" t="n"/>
    </row>
    <row r="10" ht="46" customHeight="1">
      <c r="A10" s="1" t="n"/>
      <c r="B10" s="6" t="inlineStr">
        <is>
          <t>COM-2026-BEAUTY-04</t>
        </is>
      </c>
      <c r="C10" s="6" t="inlineStr">
        <is>
          <t>Pause the Scroll</t>
        </is>
      </c>
      <c r="D10" s="6" t="inlineStr">
        <is>
          <t>Scroll ကိုခဏရပ်</t>
        </is>
      </c>
      <c r="E10" s="6" t="inlineStr">
        <is>
          <t>short-form manifesto</t>
        </is>
      </c>
      <c r="F10" s="6" t="inlineStr">
        <is>
          <t>CMP-2026-BEAUTY-04</t>
        </is>
      </c>
      <c r="G10" s="6" t="inlineStr">
        <is>
          <t>Short-form beauty content can pressure people to seek an instant result rather than understand a routine’s permitted use.</t>
        </is>
      </c>
      <c r="H10" s="6" t="inlineStr">
        <is>
          <t>Create a brand-safe, bilingual storytelling direction that supports an approved campaign route; no product, treatment, efficacy, safety, diagnostic, price, availability or outcome claim.</t>
        </is>
      </c>
      <c r="I10" s="6" t="inlineStr">
        <is>
          <t>A pause can be more useful than a promise</t>
        </is>
      </c>
      <c r="J10" s="6" t="inlineStr">
        <is>
          <t>A fast feed slows into one minute of breath, a fictional prompt and a clear next question.</t>
        </is>
      </c>
      <c r="K10" s="6" t="inlineStr">
        <is>
          <t>Client-approved CTA required</t>
        </is>
      </c>
      <c r="L10" s="6" t="inlineStr">
        <is>
          <t>12-frame detailed storyboard complete</t>
        </is>
      </c>
      <c r="M10" s="6" t="n">
        <v>12</v>
      </c>
      <c r="N10" s="6" t="inlineStr">
        <is>
          <t>Concept storyboard ready</t>
        </is>
      </c>
      <c r="O10" s="6" t="inlineStr">
        <is>
          <t>G5 product facts, claims, cast, locations, rights, music, subtitles, social versions, safety and privacy</t>
        </is>
      </c>
      <c r="P10" s="6" t="inlineStr">
        <is>
          <t>Drive upload pending</t>
        </is>
      </c>
      <c r="Q10" s="6" t="inlineStr">
        <is>
          <t>v1.0</t>
        </is>
      </c>
      <c r="R10" s="1" t="n"/>
    </row>
    <row r="11" ht="46" customHeight="1">
      <c r="A11" s="1" t="n"/>
      <c r="B11" s="4" t="inlineStr">
        <is>
          <t>COM-2026-BEAUTY-05</t>
        </is>
      </c>
      <c r="C11" s="4" t="inlineStr">
        <is>
          <t>The Return Ritual</t>
        </is>
      </c>
      <c r="D11" s="4" t="inlineStr">
        <is>
          <t>ပြန်လာတဲ့ Ritual</t>
        </is>
      </c>
      <c r="E11" s="4" t="inlineStr">
        <is>
          <t>aftercare film</t>
        </is>
      </c>
      <c r="F11" s="4" t="inlineStr">
        <is>
          <t>CMP-2026-BEAUTY-05</t>
        </is>
      </c>
      <c r="G11" s="4" t="inlineStr">
        <is>
          <t>Sustainability language can become vague if a beauty brand has not confirmed what packaging, refill, return or aftercare proposition is actually available.</t>
        </is>
      </c>
      <c r="H11" s="4" t="inlineStr">
        <is>
          <t>Create a brand-safe, bilingual storytelling direction that supports an approved campaign route; no product, treatment, efficacy, safety, diagnostic, price, availability or outcome claim.</t>
        </is>
      </c>
      <c r="I11" s="4" t="inlineStr">
        <is>
          <t>Care continues after the first use</t>
        </is>
      </c>
      <c r="J11" s="4" t="inlineStr">
        <is>
          <t>A mock pack moves through a reading, caring and returning ritual without asserting a live programme.</t>
        </is>
      </c>
      <c r="K11" s="4" t="inlineStr">
        <is>
          <t>Client-approved CTA required</t>
        </is>
      </c>
      <c r="L11" s="4" t="inlineStr">
        <is>
          <t>12-frame detailed storyboard complete</t>
        </is>
      </c>
      <c r="M11" s="4" t="n">
        <v>12</v>
      </c>
      <c r="N11" s="4" t="inlineStr">
        <is>
          <t>Concept storyboard ready</t>
        </is>
      </c>
      <c r="O11" s="4" t="inlineStr">
        <is>
          <t>G5 product facts, claims, cast, locations, rights, music, subtitles, social versions, safety and privacy</t>
        </is>
      </c>
      <c r="P11" s="4" t="inlineStr">
        <is>
          <t>Drive upload pending</t>
        </is>
      </c>
      <c r="Q11" s="4" t="inlineStr">
        <is>
          <t>v1.0</t>
        </is>
      </c>
      <c r="R11" s="1" t="n"/>
    </row>
    <row r="12" ht="46" customHeight="1">
      <c r="A12" s="1" t="n"/>
      <c r="B12" s="6" t="inlineStr">
        <is>
          <t>COM-2026-BEAUTY-06</t>
        </is>
      </c>
      <c r="C12" s="6" t="inlineStr">
        <is>
          <t>After the Day</t>
        </is>
      </c>
      <c r="D12" s="6" t="inlineStr">
        <is>
          <t>တစ်နေ့တာပြီးနောက်</t>
        </is>
      </c>
      <c r="E12" s="6" t="inlineStr">
        <is>
          <t>evening brand film</t>
        </is>
      </c>
      <c r="F12" s="6" t="inlineStr">
        <is>
          <t>CMP-2026-BEAUTY-06</t>
        </is>
      </c>
      <c r="G12" s="6" t="inlineStr">
        <is>
          <t>After-work customers can need a quieter way to ask routine questions, without the brand implying a clinical or therapeutic consultation.</t>
        </is>
      </c>
      <c r="H12" s="6" t="inlineStr">
        <is>
          <t>Create a brand-safe, bilingual storytelling direction that supports an approved campaign route; no product, treatment, efficacy, safety, diagnostic, price, availability or outcome claim.</t>
        </is>
      </c>
      <c r="I12" s="6" t="inlineStr">
        <is>
          <t>Quiet confidence deserves a place to land</t>
        </is>
      </c>
      <c r="J12" s="6" t="inlineStr">
        <is>
          <t>An evening desk opens for a calm, non-medical routine question.</t>
        </is>
      </c>
      <c r="K12" s="6" t="inlineStr">
        <is>
          <t>Client-approved CTA required</t>
        </is>
      </c>
      <c r="L12" s="6" t="inlineStr">
        <is>
          <t>12-frame detailed storyboard complete</t>
        </is>
      </c>
      <c r="M12" s="6" t="n">
        <v>12</v>
      </c>
      <c r="N12" s="6" t="inlineStr">
        <is>
          <t>Concept storyboard ready</t>
        </is>
      </c>
      <c r="O12" s="6" t="inlineStr">
        <is>
          <t>G5 product facts, claims, cast, locations, rights, music, subtitles, social versions, safety and privacy</t>
        </is>
      </c>
      <c r="P12" s="6" t="inlineStr">
        <is>
          <t>Drive upload pending</t>
        </is>
      </c>
      <c r="Q12" s="6" t="inlineStr">
        <is>
          <t>v1.0</t>
        </is>
      </c>
      <c r="R12" s="1" t="n"/>
    </row>
    <row r="13" ht="46" customHeight="1">
      <c r="A13" s="1" t="n"/>
      <c r="B13" s="4" t="inlineStr">
        <is>
          <t>COM-2026-BEAUTY-07</t>
        </is>
      </c>
      <c r="C13" s="4" t="inlineStr">
        <is>
          <t>The Language of Texture</t>
        </is>
      </c>
      <c r="D13" s="4" t="inlineStr">
        <is>
          <t>Texture ရဲ့ ဘာသာစကား</t>
        </is>
      </c>
      <c r="E13" s="4" t="inlineStr">
        <is>
          <t>macro sensory film</t>
        </is>
      </c>
      <c r="F13" s="4" t="inlineStr">
        <is>
          <t>CMP-2026-BEAUTY-07</t>
        </is>
      </c>
      <c r="G13" s="4" t="inlineStr">
        <is>
          <t>Beauty texture is often shown visually, but customers may need a brand-approved, hygienic and non-medical way to explore it.</t>
        </is>
      </c>
      <c r="H13" s="4" t="inlineStr">
        <is>
          <t>Create a brand-safe, bilingual storytelling direction that supports an approved campaign route; no product, treatment, efficacy, safety, diagnostic, price, availability or outcome claim.</t>
        </is>
      </c>
      <c r="I13" s="4" t="inlineStr">
        <is>
          <t>Texture is detail, not diagnosis</t>
        </is>
      </c>
      <c r="J13" s="4" t="inlineStr">
        <is>
          <t>Macro studio visuals turn fictional material swatches into a language of curiosity.</t>
        </is>
      </c>
      <c r="K13" s="4" t="inlineStr">
        <is>
          <t>Client-approved CTA required</t>
        </is>
      </c>
      <c r="L13" s="4" t="inlineStr">
        <is>
          <t>12-frame detailed storyboard complete</t>
        </is>
      </c>
      <c r="M13" s="4" t="n">
        <v>12</v>
      </c>
      <c r="N13" s="4" t="inlineStr">
        <is>
          <t>Concept storyboard ready</t>
        </is>
      </c>
      <c r="O13" s="4" t="inlineStr">
        <is>
          <t>G5 product facts, claims, cast, locations, rights, music, subtitles, social versions, safety and privacy</t>
        </is>
      </c>
      <c r="P13" s="4" t="inlineStr">
        <is>
          <t>Drive upload pending</t>
        </is>
      </c>
      <c r="Q13" s="4" t="inlineStr">
        <is>
          <t>v1.0</t>
        </is>
      </c>
      <c r="R13" s="1" t="n"/>
    </row>
    <row r="14" ht="46" customHeight="1">
      <c r="A14" s="1" t="n"/>
      <c r="B14" s="6" t="inlineStr">
        <is>
          <t>COM-2026-BEAUTY-08</t>
        </is>
      </c>
      <c r="C14" s="6" t="inlineStr">
        <is>
          <t>No Comparison Needed</t>
        </is>
      </c>
      <c r="D14" s="6" t="inlineStr">
        <is>
          <t>နှိုင်းယှဉ်စရာမလို</t>
        </is>
      </c>
      <c r="E14" s="6" t="inlineStr">
        <is>
          <t>community film</t>
        </is>
      </c>
      <c r="F14" s="6" t="inlineStr">
        <is>
          <t>CMP-2026-BEAUTY-08</t>
        </is>
      </c>
      <c r="G14" s="6" t="inlineStr">
        <is>
          <t>Beauty messaging can unintentionally exploit insecurities or reinforce a narrow ideal.</t>
        </is>
      </c>
      <c r="H14" s="6" t="inlineStr">
        <is>
          <t>Create a brand-safe, bilingual storytelling direction that supports an approved campaign route; no product, treatment, efficacy, safety, diagnostic, price, availability or outcome claim.</t>
        </is>
      </c>
      <c r="I14" s="6" t="inlineStr">
        <is>
          <t>Beauty can make room for your own voice</t>
        </is>
      </c>
      <c r="J14" s="6" t="inlineStr">
        <is>
          <t>Different people write personal choices, while the film avoids testimonial or body-image pressure.</t>
        </is>
      </c>
      <c r="K14" s="6" t="inlineStr">
        <is>
          <t>Client-approved CTA required</t>
        </is>
      </c>
      <c r="L14" s="6" t="inlineStr">
        <is>
          <t>12-frame detailed storyboard complete</t>
        </is>
      </c>
      <c r="M14" s="6" t="n">
        <v>12</v>
      </c>
      <c r="N14" s="6" t="inlineStr">
        <is>
          <t>Concept storyboard ready</t>
        </is>
      </c>
      <c r="O14" s="6" t="inlineStr">
        <is>
          <t>G5 product facts, claims, cast, locations, rights, music, subtitles, social versions, safety and privacy</t>
        </is>
      </c>
      <c r="P14" s="6" t="inlineStr">
        <is>
          <t>Drive upload pending</t>
        </is>
      </c>
      <c r="Q14" s="6" t="inlineStr">
        <is>
          <t>v1.0</t>
        </is>
      </c>
      <c r="R14" s="1" t="n"/>
    </row>
    <row r="15" ht="46" customHeight="1">
      <c r="A15" s="1" t="n"/>
      <c r="B15" s="4" t="inlineStr">
        <is>
          <t>COM-2026-BEAUTY-09</t>
        </is>
      </c>
      <c r="C15" s="4" t="inlineStr">
        <is>
          <t>Read Before Repeat</t>
        </is>
      </c>
      <c r="D15" s="4" t="inlineStr">
        <is>
          <t>ထပ်မလုပ်ခင် ဖတ်ပါ</t>
        </is>
      </c>
      <c r="E15" s="4" t="inlineStr">
        <is>
          <t>pack literacy film</t>
        </is>
      </c>
      <c r="F15" s="4" t="inlineStr">
        <is>
          <t>CMP-2026-BEAUTY-09</t>
        </is>
      </c>
      <c r="G15" s="4" t="inlineStr">
        <is>
          <t>Packaging can become only an aesthetic signal when users cannot easily find client-approved use, disposal, batch, label or care information.</t>
        </is>
      </c>
      <c r="H15" s="4" t="inlineStr">
        <is>
          <t>Create a brand-safe, bilingual storytelling direction that supports an approved campaign route; no product, treatment, efficacy, safety, diagnostic, price, availability or outcome claim.</t>
        </is>
      </c>
      <c r="I15" s="4" t="inlineStr">
        <is>
          <t>The pack can invite a clearer question</t>
        </is>
      </c>
      <c r="J15" s="4" t="inlineStr">
        <is>
          <t>A mock pack opens into simple “read, confirm, ask” pathways.</t>
        </is>
      </c>
      <c r="K15" s="4" t="inlineStr">
        <is>
          <t>Client-approved CTA required</t>
        </is>
      </c>
      <c r="L15" s="4" t="inlineStr">
        <is>
          <t>12-frame detailed storyboard complete</t>
        </is>
      </c>
      <c r="M15" s="4" t="n">
        <v>12</v>
      </c>
      <c r="N15" s="4" t="inlineStr">
        <is>
          <t>Concept storyboard ready</t>
        </is>
      </c>
      <c r="O15" s="4" t="inlineStr">
        <is>
          <t>G5 product facts, claims, cast, locations, rights, music, subtitles, social versions, safety and privacy</t>
        </is>
      </c>
      <c r="P15" s="4" t="inlineStr">
        <is>
          <t>Drive upload pending</t>
        </is>
      </c>
      <c r="Q15" s="4" t="inlineStr">
        <is>
          <t>v1.0</t>
        </is>
      </c>
      <c r="R15" s="1" t="n"/>
    </row>
    <row r="16" ht="46" customHeight="1">
      <c r="A16" s="1" t="n"/>
      <c r="B16" s="6" t="inlineStr">
        <is>
          <t>COM-2026-BEAUTY-10</t>
        </is>
      </c>
      <c r="C16" s="6" t="inlineStr">
        <is>
          <t>Permission to Begin Again</t>
        </is>
      </c>
      <c r="D16" s="6" t="inlineStr">
        <is>
          <t>ပြန်စဖို့ ခွင့်ပြုချက်</t>
        </is>
      </c>
      <c r="E16" s="6" t="inlineStr">
        <is>
          <t>CRM reactivation film</t>
        </is>
      </c>
      <c r="F16" s="6" t="inlineStr">
        <is>
          <t>CMP-2026-BEAUTY-10</t>
        </is>
      </c>
      <c r="G16" s="6" t="inlineStr">
        <is>
          <t>Past customers may have a changing routine, but reactivation can become intrusive when consent, contact rights and product facts are unclear.</t>
        </is>
      </c>
      <c r="H16" s="6" t="inlineStr">
        <is>
          <t>Create a brand-safe, bilingual storytelling direction that supports an approved campaign route; no product, treatment, efficacy, safety, diagnostic, price, availability or outcome claim.</t>
        </is>
      </c>
      <c r="I16" s="6" t="inlineStr">
        <is>
          <t>The next routine begins with permission</t>
        </is>
      </c>
      <c r="J16" s="6" t="inlineStr">
        <is>
          <t>An unsent message becomes a respectful choice: learn, revisit or pause.</t>
        </is>
      </c>
      <c r="K16" s="6" t="inlineStr">
        <is>
          <t>Client-approved CTA required</t>
        </is>
      </c>
      <c r="L16" s="6" t="inlineStr">
        <is>
          <t>12-frame detailed storyboard complete</t>
        </is>
      </c>
      <c r="M16" s="6" t="n">
        <v>12</v>
      </c>
      <c r="N16" s="6" t="inlineStr">
        <is>
          <t>Concept storyboard ready</t>
        </is>
      </c>
      <c r="O16" s="6" t="inlineStr">
        <is>
          <t>G5 product facts, claims, cast, locations, rights, music, subtitles, social versions, safety and privacy</t>
        </is>
      </c>
      <c r="P16" s="6" t="inlineStr">
        <is>
          <t>Drive upload pending</t>
        </is>
      </c>
      <c r="Q16" s="6" t="inlineStr">
        <is>
          <t>v1.0</t>
        </is>
      </c>
      <c r="R16" s="1" t="n"/>
    </row>
  </sheetData>
  <autoFilter ref="B6:Q16"/>
  <mergeCells count="2">
    <mergeCell ref="B2:R2"/>
    <mergeCell ref="B3: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2" customWidth="1" min="4" max="4"/>
    <col width="38" customWidth="1" min="5" max="5"/>
    <col width="46" customWidth="1" min="6" max="6"/>
    <col width="52" customWidth="1" min="7" max="7"/>
    <col width="14" customWidth="1" min="8" max="8"/>
    <col width="20" customWidth="1" min="9" max="9"/>
    <col width="16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1" t="inlineStr">
        <is>
          <t>Research &amp; Evidence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" t="n"/>
      <c r="B3" s="1" t="inlineStr">
        <is>
          <t>Public sources are context only. Read use limits before applying any source to client copy.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0" customHeight="1">
      <c r="A6" s="1" t="n"/>
      <c r="B6" s="3" t="inlineStr">
        <is>
          <t>Source ID</t>
        </is>
      </c>
      <c r="C6" s="3" t="inlineStr">
        <is>
          <t>Source</t>
        </is>
      </c>
      <c r="D6" s="3" t="inlineStr">
        <is>
          <t>Type</t>
        </is>
      </c>
      <c r="E6" s="3" t="inlineStr">
        <is>
          <t>Finding retained</t>
        </is>
      </c>
      <c r="F6" s="3" t="inlineStr">
        <is>
          <t>Use limitation</t>
        </is>
      </c>
      <c r="G6" s="3" t="inlineStr">
        <is>
          <t>URL</t>
        </is>
      </c>
      <c r="H6" s="3" t="inlineStr">
        <is>
          <t>Date</t>
        </is>
      </c>
      <c r="I6" s="3" t="inlineStr">
        <is>
          <t>Use</t>
        </is>
      </c>
      <c r="J6" s="3" t="inlineStr">
        <is>
          <t>Status</t>
        </is>
      </c>
    </row>
    <row r="7" ht="46" customHeight="1">
      <c r="A7" s="1" t="n"/>
      <c r="B7" s="4" t="inlineStr">
        <is>
          <t>BEA-S01</t>
        </is>
      </c>
      <c r="C7" s="4" t="inlineStr">
        <is>
          <t>TikTok For Business</t>
        </is>
      </c>
      <c r="D7" s="4" t="inlineStr">
        <is>
          <t>Official beauty guide</t>
        </is>
      </c>
      <c r="E7" s="4" t="inlineStr">
        <is>
          <t>Beauty awareness, interaction, commerce/lead routes and organic-support context</t>
        </is>
      </c>
      <c r="F7" s="4" t="inlineStr">
        <is>
          <t>No proof of client account, Shop/feature access, eligibility, performance, cost, conversion or local availability</t>
        </is>
      </c>
      <c r="G7" s="4" t="inlineStr">
        <is>
          <t>https://ads.tiktok.com/business/en-US/blog/beauty-advertising-tiktok-guide</t>
        </is>
      </c>
      <c r="H7" s="4" t="inlineStr">
        <is>
          <t>21 Aug 2026</t>
        </is>
      </c>
      <c r="I7" s="4" t="inlineStr">
        <is>
          <t>Platform context</t>
        </is>
      </c>
      <c r="J7" s="4" t="inlineStr">
        <is>
          <t>Verified</t>
        </is>
      </c>
    </row>
    <row r="8" ht="46" customHeight="1">
      <c r="A8" s="1" t="n"/>
      <c r="B8" s="6" t="inlineStr">
        <is>
          <t>BEA-S02</t>
        </is>
      </c>
      <c r="C8" s="6" t="inlineStr">
        <is>
          <t>Food and Drug Administration, Myanmar</t>
        </is>
      </c>
      <c r="D8" s="6" t="inlineStr">
        <is>
          <t>Official agency site</t>
        </is>
      </c>
      <c r="E8" s="6" t="inlineStr">
        <is>
          <t>Agency states a safety/quality role for cosmetics and identifies a cosmetic control division</t>
        </is>
      </c>
      <c r="F8" s="6" t="inlineStr">
        <is>
          <t>No proof any client product, label, claim, sample, activity or campaign is approved</t>
        </is>
      </c>
      <c r="G8" s="6" t="inlineStr">
        <is>
          <t>https://www.fda.gov.mm/</t>
        </is>
      </c>
      <c r="H8" s="6" t="inlineStr">
        <is>
          <t>21 Aug 2026</t>
        </is>
      </c>
      <c r="I8" s="6" t="inlineStr">
        <is>
          <t>Regulatory boundary</t>
        </is>
      </c>
      <c r="J8" s="6" t="inlineStr">
        <is>
          <t>Verified</t>
        </is>
      </c>
    </row>
    <row r="9" ht="46" customHeight="1">
      <c r="A9" s="1" t="n"/>
      <c r="B9" s="4" t="inlineStr">
        <is>
          <t>BEA-S03</t>
        </is>
      </c>
      <c r="C9" s="4" t="inlineStr">
        <is>
          <t>TikTok For Business</t>
        </is>
      </c>
      <c r="D9" s="4" t="inlineStr">
        <is>
          <t>Official advertising policy</t>
        </is>
      </c>
      <c r="E9" s="4" t="inlineStr">
        <is>
          <t>Healthcare/cosmetic-procedure policy boundary and restrictions context</t>
        </is>
      </c>
      <c r="F9" s="4" t="inlineStr">
        <is>
          <t>Exact eligibility is market/client/account/creative specific; do not infer approval</t>
        </is>
      </c>
      <c r="G9" s="4" t="inlineStr">
        <is>
          <t>https://ads.tiktok.com/resources/help/article/tiktok-ads-policy-healthcare-pharmaceuticals</t>
        </is>
      </c>
      <c r="H9" s="4" t="inlineStr">
        <is>
          <t>21 Aug 2026</t>
        </is>
      </c>
      <c r="I9" s="4" t="inlineStr">
        <is>
          <t>Policy boundary</t>
        </is>
      </c>
      <c r="J9" s="4" t="inlineStr">
        <is>
          <t>Verified</t>
        </is>
      </c>
    </row>
    <row r="10" ht="46" customHeight="1">
      <c r="A10" s="1" t="n"/>
      <c r="B10" s="6" t="inlineStr">
        <is>
          <t>BEA-S04</t>
        </is>
      </c>
      <c r="C10" s="6" t="inlineStr">
        <is>
          <t>Lebo Lion</t>
        </is>
      </c>
      <c r="D10" s="6" t="inlineStr">
        <is>
          <t>Third-party YouTube masterclass</t>
        </is>
      </c>
      <c r="E10" s="6" t="inlineStr">
        <is>
          <t>Contextual opinions on profile, calendar, hook, CTA, engagement and analytics workflow</t>
        </is>
      </c>
      <c r="F10" s="6" t="inlineStr">
        <is>
          <t>Non-Myanmar third-party opinion; not platform policy, local proof or client performance evidence</t>
        </is>
      </c>
      <c r="G10" s="6" t="inlineStr">
        <is>
          <t>https://www.youtube.com/watch?v=Wa7aHXpMw_4</t>
        </is>
      </c>
      <c r="H10" s="6" t="inlineStr">
        <is>
          <t>21 Aug 2026</t>
        </is>
      </c>
      <c r="I10" s="6" t="inlineStr">
        <is>
          <t>Workflow context</t>
        </is>
      </c>
      <c r="J10" s="6" t="inlineStr">
        <is>
          <t>Context only</t>
        </is>
      </c>
    </row>
  </sheetData>
  <autoFilter ref="B6:J10"/>
  <mergeCells count="2">
    <mergeCell ref="B3:J3"/>
    <mergeCell ref="B2:J2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6" customWidth="1" min="4" max="4"/>
    <col width="25" customWidth="1" min="5" max="5"/>
    <col width="50" customWidth="1" min="6" max="6"/>
    <col width="28" customWidth="1" min="7" max="7"/>
    <col width="20" customWidth="1" min="8" max="8"/>
    <col width="16" customWidth="1" min="9" max="9"/>
    <col width="42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1" t="inlineStr">
        <is>
          <t>Human Decision Gates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" t="n"/>
      <c r="B3" s="1" t="inlineStr">
        <is>
          <t>Named human owners must clear each gate before external action.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0" customHeight="1">
      <c r="A6" s="1" t="n"/>
      <c r="B6" s="3" t="inlineStr">
        <is>
          <t>Gate record</t>
        </is>
      </c>
      <c r="C6" s="3" t="inlineStr">
        <is>
          <t>Record ID</t>
        </is>
      </c>
      <c r="D6" s="3" t="inlineStr">
        <is>
          <t>Track</t>
        </is>
      </c>
      <c r="E6" s="3" t="inlineStr">
        <is>
          <t>Gate</t>
        </is>
      </c>
      <c r="F6" s="3" t="inlineStr">
        <is>
          <t>Decision question</t>
        </is>
      </c>
      <c r="G6" s="3" t="inlineStr">
        <is>
          <t>Owner</t>
        </is>
      </c>
      <c r="H6" s="3" t="inlineStr">
        <is>
          <t>Due / timing</t>
        </is>
      </c>
      <c r="I6" s="3" t="inlineStr">
        <is>
          <t>Status</t>
        </is>
      </c>
      <c r="J6" s="3" t="inlineStr">
        <is>
          <t>Evidence required</t>
        </is>
      </c>
    </row>
    <row r="7" ht="46" customHeight="1">
      <c r="A7" s="1" t="n"/>
      <c r="B7" s="4" t="inlineStr">
        <is>
          <t>GATE-01-G1</t>
        </is>
      </c>
      <c r="C7" s="4" t="inlineStr">
        <is>
          <t>CMP-2026-BEAUTY-01</t>
        </is>
      </c>
      <c r="D7" s="4" t="inlineStr">
        <is>
          <t>Campaign</t>
        </is>
      </c>
      <c r="E7" s="4" t="inlineStr">
        <is>
          <t>G1 Facts &amp; claims</t>
        </is>
      </c>
      <c r="F7" s="4" t="inlineStr">
        <is>
          <t>Are product/service, claims, label/pack, audience and evidence boundaries approved?</t>
        </is>
      </c>
      <c r="G7" s="4" t="inlineStr">
        <is>
          <t>Client brand/regulatory owner</t>
        </is>
      </c>
      <c r="H7" s="4" t="inlineStr">
        <is>
          <t>Before content/activation</t>
        </is>
      </c>
      <c r="I7" s="4" t="inlineStr">
        <is>
          <t>Pending</t>
        </is>
      </c>
      <c r="J7" s="4" t="inlineStr">
        <is>
          <t>Approved factual brief</t>
        </is>
      </c>
    </row>
    <row r="8" ht="46" customHeight="1">
      <c r="A8" s="1" t="n"/>
      <c r="B8" s="6" t="inlineStr">
        <is>
          <t>GATE-01-G4</t>
        </is>
      </c>
      <c r="C8" s="6" t="inlineStr">
        <is>
          <t>CMP-2026-BEAUTY-01</t>
        </is>
      </c>
      <c r="D8" s="6" t="inlineStr">
        <is>
          <t>Campaign</t>
        </is>
      </c>
      <c r="E8" s="6" t="inlineStr">
        <is>
          <t>G4 Social/activation feasibility</t>
        </is>
      </c>
      <c r="F8" s="6" t="inlineStr">
        <is>
          <t>Are venue, hygiene, creators, rights, privacy, moderation, platform/policy, data and escalation owners named?</t>
        </is>
      </c>
      <c r="G8" s="6" t="inlineStr">
        <is>
          <t>Client operations/social/legal owner</t>
        </is>
      </c>
      <c r="H8" s="6" t="inlineStr">
        <is>
          <t>Before publication/activation</t>
        </is>
      </c>
      <c r="I8" s="6" t="inlineStr">
        <is>
          <t>Pending</t>
        </is>
      </c>
      <c r="J8" s="6" t="inlineStr">
        <is>
          <t>Approved preflight register</t>
        </is>
      </c>
    </row>
    <row r="9" ht="46" customHeight="1">
      <c r="A9" s="1" t="n"/>
      <c r="B9" s="4" t="inlineStr">
        <is>
          <t>GATE-02-G1</t>
        </is>
      </c>
      <c r="C9" s="4" t="inlineStr">
        <is>
          <t>CMP-2026-BEAUTY-02</t>
        </is>
      </c>
      <c r="D9" s="4" t="inlineStr">
        <is>
          <t>Campaign</t>
        </is>
      </c>
      <c r="E9" s="4" t="inlineStr">
        <is>
          <t>G1 Facts &amp; claims</t>
        </is>
      </c>
      <c r="F9" s="4" t="inlineStr">
        <is>
          <t>Are product/service, claims, label/pack, audience and evidence boundaries approved?</t>
        </is>
      </c>
      <c r="G9" s="4" t="inlineStr">
        <is>
          <t>Client brand/regulatory owner</t>
        </is>
      </c>
      <c r="H9" s="4" t="inlineStr">
        <is>
          <t>Before content/activation</t>
        </is>
      </c>
      <c r="I9" s="4" t="inlineStr">
        <is>
          <t>Pending</t>
        </is>
      </c>
      <c r="J9" s="4" t="inlineStr">
        <is>
          <t>Approved factual brief</t>
        </is>
      </c>
    </row>
    <row r="10" ht="46" customHeight="1">
      <c r="A10" s="1" t="n"/>
      <c r="B10" s="6" t="inlineStr">
        <is>
          <t>GATE-02-G4</t>
        </is>
      </c>
      <c r="C10" s="6" t="inlineStr">
        <is>
          <t>CMP-2026-BEAUTY-02</t>
        </is>
      </c>
      <c r="D10" s="6" t="inlineStr">
        <is>
          <t>Campaign</t>
        </is>
      </c>
      <c r="E10" s="6" t="inlineStr">
        <is>
          <t>G4 Social/activation feasibility</t>
        </is>
      </c>
      <c r="F10" s="6" t="inlineStr">
        <is>
          <t>Are venue, hygiene, creators, rights, privacy, moderation, platform/policy, data and escalation owners named?</t>
        </is>
      </c>
      <c r="G10" s="6" t="inlineStr">
        <is>
          <t>Client operations/social/legal owner</t>
        </is>
      </c>
      <c r="H10" s="6" t="inlineStr">
        <is>
          <t>Before publication/activation</t>
        </is>
      </c>
      <c r="I10" s="6" t="inlineStr">
        <is>
          <t>Pending</t>
        </is>
      </c>
      <c r="J10" s="6" t="inlineStr">
        <is>
          <t>Approved preflight register</t>
        </is>
      </c>
    </row>
    <row r="11" ht="46" customHeight="1">
      <c r="A11" s="1" t="n"/>
      <c r="B11" s="4" t="inlineStr">
        <is>
          <t>GATE-03-G1</t>
        </is>
      </c>
      <c r="C11" s="4" t="inlineStr">
        <is>
          <t>CMP-2026-BEAUTY-03</t>
        </is>
      </c>
      <c r="D11" s="4" t="inlineStr">
        <is>
          <t>Campaign</t>
        </is>
      </c>
      <c r="E11" s="4" t="inlineStr">
        <is>
          <t>G1 Facts &amp; claims</t>
        </is>
      </c>
      <c r="F11" s="4" t="inlineStr">
        <is>
          <t>Are product/service, claims, label/pack, audience and evidence boundaries approved?</t>
        </is>
      </c>
      <c r="G11" s="4" t="inlineStr">
        <is>
          <t>Client brand/regulatory owner</t>
        </is>
      </c>
      <c r="H11" s="4" t="inlineStr">
        <is>
          <t>Before content/activation</t>
        </is>
      </c>
      <c r="I11" s="4" t="inlineStr">
        <is>
          <t>Pending</t>
        </is>
      </c>
      <c r="J11" s="4" t="inlineStr">
        <is>
          <t>Approved factual brief</t>
        </is>
      </c>
    </row>
    <row r="12" ht="46" customHeight="1">
      <c r="A12" s="1" t="n"/>
      <c r="B12" s="6" t="inlineStr">
        <is>
          <t>GATE-03-G4</t>
        </is>
      </c>
      <c r="C12" s="6" t="inlineStr">
        <is>
          <t>CMP-2026-BEAUTY-03</t>
        </is>
      </c>
      <c r="D12" s="6" t="inlineStr">
        <is>
          <t>Campaign</t>
        </is>
      </c>
      <c r="E12" s="6" t="inlineStr">
        <is>
          <t>G4 Social/activation feasibility</t>
        </is>
      </c>
      <c r="F12" s="6" t="inlineStr">
        <is>
          <t>Are venue, hygiene, creators, rights, privacy, moderation, platform/policy, data and escalation owners named?</t>
        </is>
      </c>
      <c r="G12" s="6" t="inlineStr">
        <is>
          <t>Client operations/social/legal owner</t>
        </is>
      </c>
      <c r="H12" s="6" t="inlineStr">
        <is>
          <t>Before publication/activation</t>
        </is>
      </c>
      <c r="I12" s="6" t="inlineStr">
        <is>
          <t>Pending</t>
        </is>
      </c>
      <c r="J12" s="6" t="inlineStr">
        <is>
          <t>Approved preflight register</t>
        </is>
      </c>
    </row>
    <row r="13" ht="46" customHeight="1">
      <c r="A13" s="1" t="n"/>
      <c r="B13" s="4" t="inlineStr">
        <is>
          <t>GATE-04-G1</t>
        </is>
      </c>
      <c r="C13" s="4" t="inlineStr">
        <is>
          <t>CMP-2026-BEAUTY-04</t>
        </is>
      </c>
      <c r="D13" s="4" t="inlineStr">
        <is>
          <t>Campaign</t>
        </is>
      </c>
      <c r="E13" s="4" t="inlineStr">
        <is>
          <t>G1 Facts &amp; claims</t>
        </is>
      </c>
      <c r="F13" s="4" t="inlineStr">
        <is>
          <t>Are product/service, claims, label/pack, audience and evidence boundaries approved?</t>
        </is>
      </c>
      <c r="G13" s="4" t="inlineStr">
        <is>
          <t>Client brand/regulatory owner</t>
        </is>
      </c>
      <c r="H13" s="4" t="inlineStr">
        <is>
          <t>Before content/activation</t>
        </is>
      </c>
      <c r="I13" s="4" t="inlineStr">
        <is>
          <t>Pending</t>
        </is>
      </c>
      <c r="J13" s="4" t="inlineStr">
        <is>
          <t>Approved factual brief</t>
        </is>
      </c>
    </row>
    <row r="14" ht="46" customHeight="1">
      <c r="A14" s="1" t="n"/>
      <c r="B14" s="6" t="inlineStr">
        <is>
          <t>GATE-04-G4</t>
        </is>
      </c>
      <c r="C14" s="6" t="inlineStr">
        <is>
          <t>CMP-2026-BEAUTY-04</t>
        </is>
      </c>
      <c r="D14" s="6" t="inlineStr">
        <is>
          <t>Campaign</t>
        </is>
      </c>
      <c r="E14" s="6" t="inlineStr">
        <is>
          <t>G4 Social/activation feasibility</t>
        </is>
      </c>
      <c r="F14" s="6" t="inlineStr">
        <is>
          <t>Are venue, hygiene, creators, rights, privacy, moderation, platform/policy, data and escalation owners named?</t>
        </is>
      </c>
      <c r="G14" s="6" t="inlineStr">
        <is>
          <t>Client operations/social/legal owner</t>
        </is>
      </c>
      <c r="H14" s="6" t="inlineStr">
        <is>
          <t>Before publication/activation</t>
        </is>
      </c>
      <c r="I14" s="6" t="inlineStr">
        <is>
          <t>Pending</t>
        </is>
      </c>
      <c r="J14" s="6" t="inlineStr">
        <is>
          <t>Approved preflight register</t>
        </is>
      </c>
    </row>
    <row r="15" ht="46" customHeight="1">
      <c r="A15" s="1" t="n"/>
      <c r="B15" s="4" t="inlineStr">
        <is>
          <t>GATE-05-G1</t>
        </is>
      </c>
      <c r="C15" s="4" t="inlineStr">
        <is>
          <t>CMP-2026-BEAUTY-05</t>
        </is>
      </c>
      <c r="D15" s="4" t="inlineStr">
        <is>
          <t>Campaign</t>
        </is>
      </c>
      <c r="E15" s="4" t="inlineStr">
        <is>
          <t>G1 Facts &amp; claims</t>
        </is>
      </c>
      <c r="F15" s="4" t="inlineStr">
        <is>
          <t>Are product/service, claims, label/pack, audience and evidence boundaries approved?</t>
        </is>
      </c>
      <c r="G15" s="4" t="inlineStr">
        <is>
          <t>Client brand/regulatory owner</t>
        </is>
      </c>
      <c r="H15" s="4" t="inlineStr">
        <is>
          <t>Before content/activation</t>
        </is>
      </c>
      <c r="I15" s="4" t="inlineStr">
        <is>
          <t>Pending</t>
        </is>
      </c>
      <c r="J15" s="4" t="inlineStr">
        <is>
          <t>Approved factual brief</t>
        </is>
      </c>
    </row>
    <row r="16" ht="46" customHeight="1">
      <c r="A16" s="1" t="n"/>
      <c r="B16" s="6" t="inlineStr">
        <is>
          <t>GATE-05-G4</t>
        </is>
      </c>
      <c r="C16" s="6" t="inlineStr">
        <is>
          <t>CMP-2026-BEAUTY-05</t>
        </is>
      </c>
      <c r="D16" s="6" t="inlineStr">
        <is>
          <t>Campaign</t>
        </is>
      </c>
      <c r="E16" s="6" t="inlineStr">
        <is>
          <t>G4 Social/activation feasibility</t>
        </is>
      </c>
      <c r="F16" s="6" t="inlineStr">
        <is>
          <t>Are venue, hygiene, creators, rights, privacy, moderation, platform/policy, data and escalation owners named?</t>
        </is>
      </c>
      <c r="G16" s="6" t="inlineStr">
        <is>
          <t>Client operations/social/legal owner</t>
        </is>
      </c>
      <c r="H16" s="6" t="inlineStr">
        <is>
          <t>Before publication/activation</t>
        </is>
      </c>
      <c r="I16" s="6" t="inlineStr">
        <is>
          <t>Pending</t>
        </is>
      </c>
      <c r="J16" s="6" t="inlineStr">
        <is>
          <t>Approved preflight register</t>
        </is>
      </c>
    </row>
    <row r="17" ht="46" customHeight="1">
      <c r="A17" s="1" t="n"/>
      <c r="B17" s="4" t="inlineStr">
        <is>
          <t>GATE-06-G1</t>
        </is>
      </c>
      <c r="C17" s="4" t="inlineStr">
        <is>
          <t>CMP-2026-BEAUTY-06</t>
        </is>
      </c>
      <c r="D17" s="4" t="inlineStr">
        <is>
          <t>Campaign</t>
        </is>
      </c>
      <c r="E17" s="4" t="inlineStr">
        <is>
          <t>G1 Facts &amp; claims</t>
        </is>
      </c>
      <c r="F17" s="4" t="inlineStr">
        <is>
          <t>Are product/service, claims, label/pack, audience and evidence boundaries approved?</t>
        </is>
      </c>
      <c r="G17" s="4" t="inlineStr">
        <is>
          <t>Client brand/regulatory owner</t>
        </is>
      </c>
      <c r="H17" s="4" t="inlineStr">
        <is>
          <t>Before content/activation</t>
        </is>
      </c>
      <c r="I17" s="4" t="inlineStr">
        <is>
          <t>Pending</t>
        </is>
      </c>
      <c r="J17" s="4" t="inlineStr">
        <is>
          <t>Approved factual brief</t>
        </is>
      </c>
    </row>
    <row r="18" ht="46" customHeight="1">
      <c r="A18" s="1" t="n"/>
      <c r="B18" s="6" t="inlineStr">
        <is>
          <t>GATE-06-G4</t>
        </is>
      </c>
      <c r="C18" s="6" t="inlineStr">
        <is>
          <t>CMP-2026-BEAUTY-06</t>
        </is>
      </c>
      <c r="D18" s="6" t="inlineStr">
        <is>
          <t>Campaign</t>
        </is>
      </c>
      <c r="E18" s="6" t="inlineStr">
        <is>
          <t>G4 Social/activation feasibility</t>
        </is>
      </c>
      <c r="F18" s="6" t="inlineStr">
        <is>
          <t>Are venue, hygiene, creators, rights, privacy, moderation, platform/policy, data and escalation owners named?</t>
        </is>
      </c>
      <c r="G18" s="6" t="inlineStr">
        <is>
          <t>Client operations/social/legal owner</t>
        </is>
      </c>
      <c r="H18" s="6" t="inlineStr">
        <is>
          <t>Before publication/activation</t>
        </is>
      </c>
      <c r="I18" s="6" t="inlineStr">
        <is>
          <t>Pending</t>
        </is>
      </c>
      <c r="J18" s="6" t="inlineStr">
        <is>
          <t>Approved preflight register</t>
        </is>
      </c>
    </row>
    <row r="19" ht="46" customHeight="1">
      <c r="A19" s="1" t="n"/>
      <c r="B19" s="4" t="inlineStr">
        <is>
          <t>GATE-07-G1</t>
        </is>
      </c>
      <c r="C19" s="4" t="inlineStr">
        <is>
          <t>CMP-2026-BEAUTY-07</t>
        </is>
      </c>
      <c r="D19" s="4" t="inlineStr">
        <is>
          <t>Campaign</t>
        </is>
      </c>
      <c r="E19" s="4" t="inlineStr">
        <is>
          <t>G1 Facts &amp; claims</t>
        </is>
      </c>
      <c r="F19" s="4" t="inlineStr">
        <is>
          <t>Are product/service, claims, label/pack, audience and evidence boundaries approved?</t>
        </is>
      </c>
      <c r="G19" s="4" t="inlineStr">
        <is>
          <t>Client brand/regulatory owner</t>
        </is>
      </c>
      <c r="H19" s="4" t="inlineStr">
        <is>
          <t>Before content/activation</t>
        </is>
      </c>
      <c r="I19" s="4" t="inlineStr">
        <is>
          <t>Pending</t>
        </is>
      </c>
      <c r="J19" s="4" t="inlineStr">
        <is>
          <t>Approved factual brief</t>
        </is>
      </c>
    </row>
    <row r="20" ht="46" customHeight="1">
      <c r="A20" s="1" t="n"/>
      <c r="B20" s="6" t="inlineStr">
        <is>
          <t>GATE-07-G4</t>
        </is>
      </c>
      <c r="C20" s="6" t="inlineStr">
        <is>
          <t>CMP-2026-BEAUTY-07</t>
        </is>
      </c>
      <c r="D20" s="6" t="inlineStr">
        <is>
          <t>Campaign</t>
        </is>
      </c>
      <c r="E20" s="6" t="inlineStr">
        <is>
          <t>G4 Social/activation feasibility</t>
        </is>
      </c>
      <c r="F20" s="6" t="inlineStr">
        <is>
          <t>Are venue, hygiene, creators, rights, privacy, moderation, platform/policy, data and escalation owners named?</t>
        </is>
      </c>
      <c r="G20" s="6" t="inlineStr">
        <is>
          <t>Client operations/social/legal owner</t>
        </is>
      </c>
      <c r="H20" s="6" t="inlineStr">
        <is>
          <t>Before publication/activation</t>
        </is>
      </c>
      <c r="I20" s="6" t="inlineStr">
        <is>
          <t>Pending</t>
        </is>
      </c>
      <c r="J20" s="6" t="inlineStr">
        <is>
          <t>Approved preflight register</t>
        </is>
      </c>
    </row>
    <row r="21" ht="46" customHeight="1">
      <c r="A21" s="1" t="n"/>
      <c r="B21" s="4" t="inlineStr">
        <is>
          <t>GATE-08-G1</t>
        </is>
      </c>
      <c r="C21" s="4" t="inlineStr">
        <is>
          <t>CMP-2026-BEAUTY-08</t>
        </is>
      </c>
      <c r="D21" s="4" t="inlineStr">
        <is>
          <t>Campaign</t>
        </is>
      </c>
      <c r="E21" s="4" t="inlineStr">
        <is>
          <t>G1 Facts &amp; claims</t>
        </is>
      </c>
      <c r="F21" s="4" t="inlineStr">
        <is>
          <t>Are product/service, claims, label/pack, audience and evidence boundaries approved?</t>
        </is>
      </c>
      <c r="G21" s="4" t="inlineStr">
        <is>
          <t>Client brand/regulatory owner</t>
        </is>
      </c>
      <c r="H21" s="4" t="inlineStr">
        <is>
          <t>Before content/activation</t>
        </is>
      </c>
      <c r="I21" s="4" t="inlineStr">
        <is>
          <t>Pending</t>
        </is>
      </c>
      <c r="J21" s="4" t="inlineStr">
        <is>
          <t>Approved factual brief</t>
        </is>
      </c>
    </row>
    <row r="22" ht="46" customHeight="1">
      <c r="A22" s="1" t="n"/>
      <c r="B22" s="6" t="inlineStr">
        <is>
          <t>GATE-08-G4</t>
        </is>
      </c>
      <c r="C22" s="6" t="inlineStr">
        <is>
          <t>CMP-2026-BEAUTY-08</t>
        </is>
      </c>
      <c r="D22" s="6" t="inlineStr">
        <is>
          <t>Campaign</t>
        </is>
      </c>
      <c r="E22" s="6" t="inlineStr">
        <is>
          <t>G4 Social/activation feasibility</t>
        </is>
      </c>
      <c r="F22" s="6" t="inlineStr">
        <is>
          <t>Are venue, hygiene, creators, rights, privacy, moderation, platform/policy, data and escalation owners named?</t>
        </is>
      </c>
      <c r="G22" s="6" t="inlineStr">
        <is>
          <t>Client operations/social/legal owner</t>
        </is>
      </c>
      <c r="H22" s="6" t="inlineStr">
        <is>
          <t>Before publication/activation</t>
        </is>
      </c>
      <c r="I22" s="6" t="inlineStr">
        <is>
          <t>Pending</t>
        </is>
      </c>
      <c r="J22" s="6" t="inlineStr">
        <is>
          <t>Approved preflight register</t>
        </is>
      </c>
    </row>
    <row r="23" ht="46" customHeight="1">
      <c r="A23" s="1" t="n"/>
      <c r="B23" s="4" t="inlineStr">
        <is>
          <t>GATE-09-G1</t>
        </is>
      </c>
      <c r="C23" s="4" t="inlineStr">
        <is>
          <t>CMP-2026-BEAUTY-09</t>
        </is>
      </c>
      <c r="D23" s="4" t="inlineStr">
        <is>
          <t>Campaign</t>
        </is>
      </c>
      <c r="E23" s="4" t="inlineStr">
        <is>
          <t>G1 Facts &amp; claims</t>
        </is>
      </c>
      <c r="F23" s="4" t="inlineStr">
        <is>
          <t>Are product/service, claims, label/pack, audience and evidence boundaries approved?</t>
        </is>
      </c>
      <c r="G23" s="4" t="inlineStr">
        <is>
          <t>Client brand/regulatory owner</t>
        </is>
      </c>
      <c r="H23" s="4" t="inlineStr">
        <is>
          <t>Before content/activation</t>
        </is>
      </c>
      <c r="I23" s="4" t="inlineStr">
        <is>
          <t>Pending</t>
        </is>
      </c>
      <c r="J23" s="4" t="inlineStr">
        <is>
          <t>Approved factual brief</t>
        </is>
      </c>
    </row>
    <row r="24" ht="46" customHeight="1">
      <c r="A24" s="1" t="n"/>
      <c r="B24" s="6" t="inlineStr">
        <is>
          <t>GATE-09-G4</t>
        </is>
      </c>
      <c r="C24" s="6" t="inlineStr">
        <is>
          <t>CMP-2026-BEAUTY-09</t>
        </is>
      </c>
      <c r="D24" s="6" t="inlineStr">
        <is>
          <t>Campaign</t>
        </is>
      </c>
      <c r="E24" s="6" t="inlineStr">
        <is>
          <t>G4 Social/activation feasibility</t>
        </is>
      </c>
      <c r="F24" s="6" t="inlineStr">
        <is>
          <t>Are venue, hygiene, creators, rights, privacy, moderation, platform/policy, data and escalation owners named?</t>
        </is>
      </c>
      <c r="G24" s="6" t="inlineStr">
        <is>
          <t>Client operations/social/legal owner</t>
        </is>
      </c>
      <c r="H24" s="6" t="inlineStr">
        <is>
          <t>Before publication/activation</t>
        </is>
      </c>
      <c r="I24" s="6" t="inlineStr">
        <is>
          <t>Pending</t>
        </is>
      </c>
      <c r="J24" s="6" t="inlineStr">
        <is>
          <t>Approved preflight register</t>
        </is>
      </c>
    </row>
    <row r="25" ht="46" customHeight="1">
      <c r="A25" s="1" t="n"/>
      <c r="B25" s="4" t="inlineStr">
        <is>
          <t>GATE-10-G1</t>
        </is>
      </c>
      <c r="C25" s="4" t="inlineStr">
        <is>
          <t>CMP-2026-BEAUTY-10</t>
        </is>
      </c>
      <c r="D25" s="4" t="inlineStr">
        <is>
          <t>Campaign</t>
        </is>
      </c>
      <c r="E25" s="4" t="inlineStr">
        <is>
          <t>G1 Facts &amp; claims</t>
        </is>
      </c>
      <c r="F25" s="4" t="inlineStr">
        <is>
          <t>Are product/service, claims, label/pack, audience and evidence boundaries approved?</t>
        </is>
      </c>
      <c r="G25" s="4" t="inlineStr">
        <is>
          <t>Client brand/regulatory owner</t>
        </is>
      </c>
      <c r="H25" s="4" t="inlineStr">
        <is>
          <t>Before content/activation</t>
        </is>
      </c>
      <c r="I25" s="4" t="inlineStr">
        <is>
          <t>Pending</t>
        </is>
      </c>
      <c r="J25" s="4" t="inlineStr">
        <is>
          <t>Approved factual brief</t>
        </is>
      </c>
    </row>
    <row r="26" ht="46" customHeight="1">
      <c r="A26" s="1" t="n"/>
      <c r="B26" s="6" t="inlineStr">
        <is>
          <t>GATE-10-G4</t>
        </is>
      </c>
      <c r="C26" s="6" t="inlineStr">
        <is>
          <t>CMP-2026-BEAUTY-10</t>
        </is>
      </c>
      <c r="D26" s="6" t="inlineStr">
        <is>
          <t>Campaign</t>
        </is>
      </c>
      <c r="E26" s="6" t="inlineStr">
        <is>
          <t>G4 Social/activation feasibility</t>
        </is>
      </c>
      <c r="F26" s="6" t="inlineStr">
        <is>
          <t>Are venue, hygiene, creators, rights, privacy, moderation, platform/policy, data and escalation owners named?</t>
        </is>
      </c>
      <c r="G26" s="6" t="inlineStr">
        <is>
          <t>Client operations/social/legal owner</t>
        </is>
      </c>
      <c r="H26" s="6" t="inlineStr">
        <is>
          <t>Before publication/activation</t>
        </is>
      </c>
      <c r="I26" s="6" t="inlineStr">
        <is>
          <t>Pending</t>
        </is>
      </c>
      <c r="J26" s="6" t="inlineStr">
        <is>
          <t>Approved preflight register</t>
        </is>
      </c>
    </row>
    <row r="27" ht="46" customHeight="1">
      <c r="A27" s="1" t="n"/>
      <c r="B27" s="4" t="inlineStr">
        <is>
          <t>GATE-01-G5</t>
        </is>
      </c>
      <c r="C27" s="4" t="inlineStr">
        <is>
          <t>COM-2026-BEAUTY-01</t>
        </is>
      </c>
      <c r="D27" s="4" t="inlineStr">
        <is>
          <t>Commercial</t>
        </is>
      </c>
      <c r="E27" s="4" t="inlineStr">
        <is>
          <t>G5 Production go/no-go</t>
        </is>
      </c>
      <c r="F27" s="4" t="inlineStr">
        <is>
          <t>Are script, product facts, claims, cast, location, rights, pack, music, social versions, safety, subtitles and CTA approved?</t>
        </is>
      </c>
      <c r="G27" s="4" t="inlineStr">
        <is>
          <t>Client brand/legal owner</t>
        </is>
      </c>
      <c r="H27" s="4" t="inlineStr">
        <is>
          <t>Before shoot</t>
        </is>
      </c>
      <c r="I27" s="4" t="inlineStr">
        <is>
          <t>Pending</t>
        </is>
      </c>
      <c r="J27" s="4" t="inlineStr">
        <is>
          <t>Approved production pack</t>
        </is>
      </c>
    </row>
    <row r="28" ht="46" customHeight="1">
      <c r="A28" s="1" t="n"/>
      <c r="B28" s="6" t="inlineStr">
        <is>
          <t>GATE-02-G5</t>
        </is>
      </c>
      <c r="C28" s="6" t="inlineStr">
        <is>
          <t>COM-2026-BEAUTY-02</t>
        </is>
      </c>
      <c r="D28" s="6" t="inlineStr">
        <is>
          <t>Commercial</t>
        </is>
      </c>
      <c r="E28" s="6" t="inlineStr">
        <is>
          <t>G5 Production go/no-go</t>
        </is>
      </c>
      <c r="F28" s="6" t="inlineStr">
        <is>
          <t>Are script, product facts, claims, cast, location, rights, pack, music, social versions, safety, subtitles and CTA approved?</t>
        </is>
      </c>
      <c r="G28" s="6" t="inlineStr">
        <is>
          <t>Client brand/legal owner</t>
        </is>
      </c>
      <c r="H28" s="6" t="inlineStr">
        <is>
          <t>Before shoot</t>
        </is>
      </c>
      <c r="I28" s="6" t="inlineStr">
        <is>
          <t>Pending</t>
        </is>
      </c>
      <c r="J28" s="6" t="inlineStr">
        <is>
          <t>Approved production pack</t>
        </is>
      </c>
    </row>
    <row r="29" ht="46" customHeight="1">
      <c r="A29" s="1" t="n"/>
      <c r="B29" s="4" t="inlineStr">
        <is>
          <t>GATE-03-G5</t>
        </is>
      </c>
      <c r="C29" s="4" t="inlineStr">
        <is>
          <t>COM-2026-BEAUTY-03</t>
        </is>
      </c>
      <c r="D29" s="4" t="inlineStr">
        <is>
          <t>Commercial</t>
        </is>
      </c>
      <c r="E29" s="4" t="inlineStr">
        <is>
          <t>G5 Production go/no-go</t>
        </is>
      </c>
      <c r="F29" s="4" t="inlineStr">
        <is>
          <t>Are script, product facts, claims, cast, location, rights, pack, music, social versions, safety, subtitles and CTA approved?</t>
        </is>
      </c>
      <c r="G29" s="4" t="inlineStr">
        <is>
          <t>Client brand/legal owner</t>
        </is>
      </c>
      <c r="H29" s="4" t="inlineStr">
        <is>
          <t>Before shoot</t>
        </is>
      </c>
      <c r="I29" s="4" t="inlineStr">
        <is>
          <t>Pending</t>
        </is>
      </c>
      <c r="J29" s="4" t="inlineStr">
        <is>
          <t>Approved production pack</t>
        </is>
      </c>
    </row>
    <row r="30" ht="46" customHeight="1">
      <c r="A30" s="1" t="n"/>
      <c r="B30" s="6" t="inlineStr">
        <is>
          <t>GATE-04-G5</t>
        </is>
      </c>
      <c r="C30" s="6" t="inlineStr">
        <is>
          <t>COM-2026-BEAUTY-04</t>
        </is>
      </c>
      <c r="D30" s="6" t="inlineStr">
        <is>
          <t>Commercial</t>
        </is>
      </c>
      <c r="E30" s="6" t="inlineStr">
        <is>
          <t>G5 Production go/no-go</t>
        </is>
      </c>
      <c r="F30" s="6" t="inlineStr">
        <is>
          <t>Are script, product facts, claims, cast, location, rights, pack, music, social versions, safety, subtitles and CTA approved?</t>
        </is>
      </c>
      <c r="G30" s="6" t="inlineStr">
        <is>
          <t>Client brand/legal owner</t>
        </is>
      </c>
      <c r="H30" s="6" t="inlineStr">
        <is>
          <t>Before shoot</t>
        </is>
      </c>
      <c r="I30" s="6" t="inlineStr">
        <is>
          <t>Pending</t>
        </is>
      </c>
      <c r="J30" s="6" t="inlineStr">
        <is>
          <t>Approved production pack</t>
        </is>
      </c>
    </row>
    <row r="31" ht="46" customHeight="1">
      <c r="A31" s="1" t="n"/>
      <c r="B31" s="4" t="inlineStr">
        <is>
          <t>GATE-05-G5</t>
        </is>
      </c>
      <c r="C31" s="4" t="inlineStr">
        <is>
          <t>COM-2026-BEAUTY-05</t>
        </is>
      </c>
      <c r="D31" s="4" t="inlineStr">
        <is>
          <t>Commercial</t>
        </is>
      </c>
      <c r="E31" s="4" t="inlineStr">
        <is>
          <t>G5 Production go/no-go</t>
        </is>
      </c>
      <c r="F31" s="4" t="inlineStr">
        <is>
          <t>Are script, product facts, claims, cast, location, rights, pack, music, social versions, safety, subtitles and CTA approved?</t>
        </is>
      </c>
      <c r="G31" s="4" t="inlineStr">
        <is>
          <t>Client brand/legal owner</t>
        </is>
      </c>
      <c r="H31" s="4" t="inlineStr">
        <is>
          <t>Before shoot</t>
        </is>
      </c>
      <c r="I31" s="4" t="inlineStr">
        <is>
          <t>Pending</t>
        </is>
      </c>
      <c r="J31" s="4" t="inlineStr">
        <is>
          <t>Approved production pack</t>
        </is>
      </c>
    </row>
    <row r="32" ht="46" customHeight="1">
      <c r="A32" s="1" t="n"/>
      <c r="B32" s="6" t="inlineStr">
        <is>
          <t>GATE-06-G5</t>
        </is>
      </c>
      <c r="C32" s="6" t="inlineStr">
        <is>
          <t>COM-2026-BEAUTY-06</t>
        </is>
      </c>
      <c r="D32" s="6" t="inlineStr">
        <is>
          <t>Commercial</t>
        </is>
      </c>
      <c r="E32" s="6" t="inlineStr">
        <is>
          <t>G5 Production go/no-go</t>
        </is>
      </c>
      <c r="F32" s="6" t="inlineStr">
        <is>
          <t>Are script, product facts, claims, cast, location, rights, pack, music, social versions, safety, subtitles and CTA approved?</t>
        </is>
      </c>
      <c r="G32" s="6" t="inlineStr">
        <is>
          <t>Client brand/legal owner</t>
        </is>
      </c>
      <c r="H32" s="6" t="inlineStr">
        <is>
          <t>Before shoot</t>
        </is>
      </c>
      <c r="I32" s="6" t="inlineStr">
        <is>
          <t>Pending</t>
        </is>
      </c>
      <c r="J32" s="6" t="inlineStr">
        <is>
          <t>Approved production pack</t>
        </is>
      </c>
    </row>
    <row r="33" ht="46" customHeight="1">
      <c r="A33" s="1" t="n"/>
      <c r="B33" s="4" t="inlineStr">
        <is>
          <t>GATE-07-G5</t>
        </is>
      </c>
      <c r="C33" s="4" t="inlineStr">
        <is>
          <t>COM-2026-BEAUTY-07</t>
        </is>
      </c>
      <c r="D33" s="4" t="inlineStr">
        <is>
          <t>Commercial</t>
        </is>
      </c>
      <c r="E33" s="4" t="inlineStr">
        <is>
          <t>G5 Production go/no-go</t>
        </is>
      </c>
      <c r="F33" s="4" t="inlineStr">
        <is>
          <t>Are script, product facts, claims, cast, location, rights, pack, music, social versions, safety, subtitles and CTA approved?</t>
        </is>
      </c>
      <c r="G33" s="4" t="inlineStr">
        <is>
          <t>Client brand/legal owner</t>
        </is>
      </c>
      <c r="H33" s="4" t="inlineStr">
        <is>
          <t>Before shoot</t>
        </is>
      </c>
      <c r="I33" s="4" t="inlineStr">
        <is>
          <t>Pending</t>
        </is>
      </c>
      <c r="J33" s="4" t="inlineStr">
        <is>
          <t>Approved production pack</t>
        </is>
      </c>
    </row>
    <row r="34" ht="46" customHeight="1">
      <c r="A34" s="1" t="n"/>
      <c r="B34" s="6" t="inlineStr">
        <is>
          <t>GATE-08-G5</t>
        </is>
      </c>
      <c r="C34" s="6" t="inlineStr">
        <is>
          <t>COM-2026-BEAUTY-08</t>
        </is>
      </c>
      <c r="D34" s="6" t="inlineStr">
        <is>
          <t>Commercial</t>
        </is>
      </c>
      <c r="E34" s="6" t="inlineStr">
        <is>
          <t>G5 Production go/no-go</t>
        </is>
      </c>
      <c r="F34" s="6" t="inlineStr">
        <is>
          <t>Are script, product facts, claims, cast, location, rights, pack, music, social versions, safety, subtitles and CTA approved?</t>
        </is>
      </c>
      <c r="G34" s="6" t="inlineStr">
        <is>
          <t>Client brand/legal owner</t>
        </is>
      </c>
      <c r="H34" s="6" t="inlineStr">
        <is>
          <t>Before shoot</t>
        </is>
      </c>
      <c r="I34" s="6" t="inlineStr">
        <is>
          <t>Pending</t>
        </is>
      </c>
      <c r="J34" s="6" t="inlineStr">
        <is>
          <t>Approved production pack</t>
        </is>
      </c>
    </row>
    <row r="35" ht="46" customHeight="1">
      <c r="A35" s="1" t="n"/>
      <c r="B35" s="4" t="inlineStr">
        <is>
          <t>GATE-09-G5</t>
        </is>
      </c>
      <c r="C35" s="4" t="inlineStr">
        <is>
          <t>COM-2026-BEAUTY-09</t>
        </is>
      </c>
      <c r="D35" s="4" t="inlineStr">
        <is>
          <t>Commercial</t>
        </is>
      </c>
      <c r="E35" s="4" t="inlineStr">
        <is>
          <t>G5 Production go/no-go</t>
        </is>
      </c>
      <c r="F35" s="4" t="inlineStr">
        <is>
          <t>Are script, product facts, claims, cast, location, rights, pack, music, social versions, safety, subtitles and CTA approved?</t>
        </is>
      </c>
      <c r="G35" s="4" t="inlineStr">
        <is>
          <t>Client brand/legal owner</t>
        </is>
      </c>
      <c r="H35" s="4" t="inlineStr">
        <is>
          <t>Before shoot</t>
        </is>
      </c>
      <c r="I35" s="4" t="inlineStr">
        <is>
          <t>Pending</t>
        </is>
      </c>
      <c r="J35" s="4" t="inlineStr">
        <is>
          <t>Approved production pack</t>
        </is>
      </c>
    </row>
    <row r="36" ht="46" customHeight="1">
      <c r="A36" s="1" t="n"/>
      <c r="B36" s="6" t="inlineStr">
        <is>
          <t>GATE-10-G5</t>
        </is>
      </c>
      <c r="C36" s="6" t="inlineStr">
        <is>
          <t>COM-2026-BEAUTY-10</t>
        </is>
      </c>
      <c r="D36" s="6" t="inlineStr">
        <is>
          <t>Commercial</t>
        </is>
      </c>
      <c r="E36" s="6" t="inlineStr">
        <is>
          <t>G5 Production go/no-go</t>
        </is>
      </c>
      <c r="F36" s="6" t="inlineStr">
        <is>
          <t>Are script, product facts, claims, cast, location, rights, pack, music, social versions, safety, subtitles and CTA approved?</t>
        </is>
      </c>
      <c r="G36" s="6" t="inlineStr">
        <is>
          <t>Client brand/legal owner</t>
        </is>
      </c>
      <c r="H36" s="6" t="inlineStr">
        <is>
          <t>Before shoot</t>
        </is>
      </c>
      <c r="I36" s="6" t="inlineStr">
        <is>
          <t>Pending</t>
        </is>
      </c>
      <c r="J36" s="6" t="inlineStr">
        <is>
          <t>Approved production pack</t>
        </is>
      </c>
    </row>
  </sheetData>
  <autoFilter ref="B6:J36"/>
  <mergeCells count="2">
    <mergeCell ref="B3:J3"/>
    <mergeCell ref="B2:J2"/>
  </mergeCells>
  <dataValidations count="1">
    <dataValidation sqref="I7:I36" showDropDown="0" showInputMessage="0" showErrorMessage="0" allowBlank="0" type="list">
      <formula1>"Pending,Approved,Hold,Rejected,Completed"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30" customWidth="1" min="4" max="4"/>
    <col width="30" customWidth="1" min="5" max="5"/>
    <col width="20" customWidth="1" min="6" max="6"/>
    <col width="23" customWidth="1" min="7" max="7"/>
    <col width="20" customWidth="1" min="8" max="8"/>
    <col width="44" customWidth="1" min="9" max="9"/>
    <col width="38" customWidth="1" min="10" max="10"/>
    <col width="14" customWidth="1" min="11" max="11"/>
    <col width="32" customWidth="1" min="12" max="12"/>
    <col width="26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1" t="inlineStr">
        <is>
          <t>Live Tracker Import Rows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8" customHeight="1">
      <c r="A3" s="1" t="n"/>
      <c r="B3" s="1" t="inlineStr">
        <is>
          <t>Canonical-ID reference for the Master Tracker; use the same records and version fields after human approval.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30" customHeight="1">
      <c r="A6" s="1" t="n"/>
      <c r="B6" s="3" t="inlineStr">
        <is>
          <t>Record ID</t>
        </is>
      </c>
      <c r="C6" s="3" t="inlineStr">
        <is>
          <t>Track</t>
        </is>
      </c>
      <c r="D6" s="3" t="inlineStr">
        <is>
          <t>Title</t>
        </is>
      </c>
      <c r="E6" s="3" t="inlineStr">
        <is>
          <t>Format</t>
        </is>
      </c>
      <c r="F6" s="3" t="inlineStr">
        <is>
          <t>Gate</t>
        </is>
      </c>
      <c r="G6" s="3" t="inlineStr">
        <is>
          <t>Status</t>
        </is>
      </c>
      <c r="H6" s="3" t="inlineStr">
        <is>
          <t>Recommended budget/n.a.</t>
        </is>
      </c>
      <c r="I6" s="3" t="inlineStr">
        <is>
          <t>Primary conversion/CTA</t>
        </is>
      </c>
      <c r="J6" s="3" t="inlineStr">
        <is>
          <t>Social/TikTok note</t>
        </is>
      </c>
      <c r="K6" s="3" t="inlineStr">
        <is>
          <t>Version</t>
        </is>
      </c>
      <c r="L6" s="3" t="inlineStr">
        <is>
          <t>Batch code</t>
        </is>
      </c>
      <c r="M6" s="3" t="inlineStr">
        <is>
          <t>Classification</t>
        </is>
      </c>
      <c r="N6" s="1" t="n"/>
    </row>
    <row r="7" ht="46" customHeight="1">
      <c r="A7" s="1" t="n"/>
      <c r="B7" s="4" t="inlineStr">
        <is>
          <t>CMP-2026-BEAUTY-01</t>
        </is>
      </c>
      <c r="C7" s="4" t="inlineStr">
        <is>
          <t>Campaign</t>
        </is>
      </c>
      <c r="D7" s="4" t="inlineStr">
        <is>
          <t>Ingredient Listening Bar</t>
        </is>
      </c>
      <c r="E7" s="4" t="inlineStr">
        <is>
          <t>controlled ingredient-literacy pop-up and short-form Q&amp;A series</t>
        </is>
      </c>
      <c r="F7" s="4" t="inlineStr">
        <is>
          <t>G2 Strategy Selected</t>
        </is>
      </c>
      <c r="G7" s="4" t="inlineStr">
        <is>
          <t>Concept ready</t>
        </is>
      </c>
      <c r="H7" s="4" t="n">
        <v>20600000</v>
      </c>
      <c r="I7" s="4" t="inlineStr">
        <is>
          <t>A non-product “ask before you choose” card captures a consented consultation or approved retailer-information request.</t>
        </is>
      </c>
      <c r="J7" s="4" t="inlineStr">
        <is>
          <t>question-led product literacy</t>
        </is>
      </c>
      <c r="K7" s="4" t="inlineStr">
        <is>
          <t>v1.0</t>
        </is>
      </c>
      <c r="L7" s="4" t="inlineStr">
        <is>
          <t>ZYNTH-20260821-BEAUTY-BILINGUAL</t>
        </is>
      </c>
      <c r="M7" s="4" t="inlineStr">
        <is>
          <t>Planning/public context</t>
        </is>
      </c>
      <c r="N7" s="1" t="n"/>
    </row>
    <row r="8" ht="46" customHeight="1">
      <c r="A8" s="1" t="n"/>
      <c r="B8" s="6" t="inlineStr">
        <is>
          <t>CMP-2026-BEAUTY-02</t>
        </is>
      </c>
      <c r="C8" s="6" t="inlineStr">
        <is>
          <t>Campaign</t>
        </is>
      </c>
      <c r="D8" s="6" t="inlineStr">
        <is>
          <t>My Routine, My Rhythm</t>
        </is>
      </c>
      <c r="E8" s="6" t="inlineStr">
        <is>
          <t>routine-building retail clinic and seven-day social participation preparation</t>
        </is>
      </c>
      <c r="F8" s="6" t="inlineStr">
        <is>
          <t>G2 Strategy Selected</t>
        </is>
      </c>
      <c r="G8" s="6" t="inlineStr">
        <is>
          <t>Concept ready</t>
        </is>
      </c>
      <c r="H8" s="6" t="n">
        <v>26700000</v>
      </c>
      <c r="I8" s="6" t="inlineStr">
        <is>
          <t>A fictional routine board helps visitors select a learning card and consent to a client-approved follow-up.</t>
        </is>
      </c>
      <c r="J8" s="6" t="inlineStr">
        <is>
          <t>routine education</t>
        </is>
      </c>
      <c r="K8" s="6" t="inlineStr">
        <is>
          <t>v1.0</t>
        </is>
      </c>
      <c r="L8" s="6" t="inlineStr">
        <is>
          <t>ZYNTH-20260821-BEAUTY-BILINGUAL</t>
        </is>
      </c>
      <c r="M8" s="6" t="inlineStr">
        <is>
          <t>Planning/public context</t>
        </is>
      </c>
      <c r="N8" s="1" t="n"/>
    </row>
    <row r="9" ht="46" customHeight="1">
      <c r="A9" s="1" t="n"/>
      <c r="B9" s="4" t="inlineStr">
        <is>
          <t>CMP-2026-BEAUTY-03</t>
        </is>
      </c>
      <c r="C9" s="4" t="inlineStr">
        <is>
          <t>Campaign</t>
        </is>
      </c>
      <c r="D9" s="4" t="inlineStr">
        <is>
          <t>Shade Story Studio</t>
        </is>
      </c>
      <c r="E9" s="4" t="inlineStr">
        <is>
          <t>shade-discovery studio, creator briefing and vertical-video capture plan</t>
        </is>
      </c>
      <c r="F9" s="4" t="inlineStr">
        <is>
          <t>G2 Strategy Selected</t>
        </is>
      </c>
      <c r="G9" s="4" t="inlineStr">
        <is>
          <t>Concept ready</t>
        </is>
      </c>
      <c r="H9" s="4" t="n">
        <v>33900000</v>
      </c>
      <c r="I9" s="4" t="inlineStr">
        <is>
          <t>A “look-language” card turns a visitor’s selected mood into a consented appointment or approved product-information request.</t>
        </is>
      </c>
      <c r="J9" s="4" t="inlineStr">
        <is>
          <t>self-expression and shade vocabulary</t>
        </is>
      </c>
      <c r="K9" s="4" t="inlineStr">
        <is>
          <t>v1.0</t>
        </is>
      </c>
      <c r="L9" s="4" t="inlineStr">
        <is>
          <t>ZYNTH-20260821-BEAUTY-BILINGUAL</t>
        </is>
      </c>
      <c r="M9" s="4" t="inlineStr">
        <is>
          <t>Planning/public context</t>
        </is>
      </c>
      <c r="N9" s="1" t="n"/>
    </row>
    <row r="10" ht="46" customHeight="1">
      <c r="A10" s="1" t="n"/>
      <c r="B10" s="6" t="inlineStr">
        <is>
          <t>CMP-2026-BEAUTY-04</t>
        </is>
      </c>
      <c r="C10" s="6" t="inlineStr">
        <is>
          <t>Campaign</t>
        </is>
      </c>
      <c r="D10" s="6" t="inlineStr">
        <is>
          <t>The 60-Second Reset</t>
        </is>
      </c>
      <c r="E10" s="6" t="inlineStr">
        <is>
          <t>short-form routine challenge and counter-side reset station</t>
        </is>
      </c>
      <c r="F10" s="6" t="inlineStr">
        <is>
          <t>G2 Strategy Selected</t>
        </is>
      </c>
      <c r="G10" s="6" t="inlineStr">
        <is>
          <t>Concept ready</t>
        </is>
      </c>
      <c r="H10" s="6" t="n">
        <v>18600000</v>
      </c>
      <c r="I10" s="6" t="inlineStr">
        <is>
          <t>A one-minute non-product reset prompt routes participants to approved education content or an opt-in reminder.</t>
        </is>
      </c>
      <c r="J10" s="6" t="inlineStr">
        <is>
          <t>slow beauty reset</t>
        </is>
      </c>
      <c r="K10" s="6" t="inlineStr">
        <is>
          <t>v1.0</t>
        </is>
      </c>
      <c r="L10" s="6" t="inlineStr">
        <is>
          <t>ZYNTH-20260821-BEAUTY-BILINGUAL</t>
        </is>
      </c>
      <c r="M10" s="6" t="inlineStr">
        <is>
          <t>Planning/public context</t>
        </is>
      </c>
      <c r="N10" s="1" t="n"/>
    </row>
    <row r="11" ht="46" customHeight="1">
      <c r="A11" s="1" t="n"/>
      <c r="B11" s="4" t="inlineStr">
        <is>
          <t>CMP-2026-BEAUTY-05</t>
        </is>
      </c>
      <c r="C11" s="4" t="inlineStr">
        <is>
          <t>Campaign</t>
        </is>
      </c>
      <c r="D11" s="4" t="inlineStr">
        <is>
          <t>Refill With Intention</t>
        </is>
      </c>
      <c r="E11" s="4" t="inlineStr">
        <is>
          <t>refill-literacy activation with a materials/aftercare social education series</t>
        </is>
      </c>
      <c r="F11" s="4" t="inlineStr">
        <is>
          <t>G2 Strategy Selected</t>
        </is>
      </c>
      <c r="G11" s="4" t="inlineStr">
        <is>
          <t>Concept ready</t>
        </is>
      </c>
      <c r="H11" s="4" t="n">
        <v>25200000</v>
      </c>
      <c r="I11" s="4" t="inlineStr">
        <is>
          <t>A proposed/TBC return-and-care pledge asks participants to choose a learning path and a consented update channel.</t>
        </is>
      </c>
      <c r="J11" s="4" t="inlineStr">
        <is>
          <t>informed aftercare</t>
        </is>
      </c>
      <c r="K11" s="4" t="inlineStr">
        <is>
          <t>v1.0</t>
        </is>
      </c>
      <c r="L11" s="4" t="inlineStr">
        <is>
          <t>ZYNTH-20260821-BEAUTY-BILINGUAL</t>
        </is>
      </c>
      <c r="M11" s="4" t="inlineStr">
        <is>
          <t>Planning/public context</t>
        </is>
      </c>
      <c r="N11" s="1" t="n"/>
    </row>
    <row r="12" ht="46" customHeight="1">
      <c r="A12" s="1" t="n"/>
      <c r="B12" s="6" t="inlineStr">
        <is>
          <t>CMP-2026-BEAUTY-06</t>
        </is>
      </c>
      <c r="C12" s="6" t="inlineStr">
        <is>
          <t>Campaign</t>
        </is>
      </c>
      <c r="D12" s="6" t="inlineStr">
        <is>
          <t>Beauty Desk After Dark</t>
        </is>
      </c>
      <c r="E12" s="6" t="inlineStr">
        <is>
          <t>appointment-led evening consultation salon with WhatsApp/social hand-raise preparation</t>
        </is>
      </c>
      <c r="F12" s="6" t="inlineStr">
        <is>
          <t>G2 Strategy Selected</t>
        </is>
      </c>
      <c r="G12" s="6" t="inlineStr">
        <is>
          <t>Concept ready</t>
        </is>
      </c>
      <c r="H12" s="6" t="n">
        <v>31800000</v>
      </c>
      <c r="I12" s="6" t="inlineStr">
        <is>
          <t>A protected “ask a routine question” form or messaging hand-raise requests a client-approved appointment.</t>
        </is>
      </c>
      <c r="J12" s="6" t="inlineStr">
        <is>
          <t>quiet consultation</t>
        </is>
      </c>
      <c r="K12" s="6" t="inlineStr">
        <is>
          <t>v1.0</t>
        </is>
      </c>
      <c r="L12" s="6" t="inlineStr">
        <is>
          <t>ZYNTH-20260821-BEAUTY-BILINGUAL</t>
        </is>
      </c>
      <c r="M12" s="6" t="inlineStr">
        <is>
          <t>Planning/public context</t>
        </is>
      </c>
      <c r="N12" s="1" t="n"/>
    </row>
    <row r="13" ht="46" customHeight="1">
      <c r="A13" s="1" t="n"/>
      <c r="B13" s="4" t="inlineStr">
        <is>
          <t>CMP-2026-BEAUTY-07</t>
        </is>
      </c>
      <c r="C13" s="4" t="inlineStr">
        <is>
          <t>Campaign</t>
        </is>
      </c>
      <c r="D13" s="4" t="inlineStr">
        <is>
          <t>The Texture Library</t>
        </is>
      </c>
      <c r="E13" s="4" t="inlineStr">
        <is>
          <t>sensory design exhibition and creator macro-content preparation</t>
        </is>
      </c>
      <c r="F13" s="4" t="inlineStr">
        <is>
          <t>G2 Strategy Selected</t>
        </is>
      </c>
      <c r="G13" s="4" t="inlineStr">
        <is>
          <t>Concept ready</t>
        </is>
      </c>
      <c r="H13" s="4" t="n">
        <v>28900000</v>
      </c>
      <c r="I13" s="4" t="inlineStr">
        <is>
          <t>A hygienic non-product texture language board opens an approved product-information or appointment path.</t>
        </is>
      </c>
      <c r="J13" s="4" t="inlineStr">
        <is>
          <t>texture literacy</t>
        </is>
      </c>
      <c r="K13" s="4" t="inlineStr">
        <is>
          <t>v1.0</t>
        </is>
      </c>
      <c r="L13" s="4" t="inlineStr">
        <is>
          <t>ZYNTH-20260821-BEAUTY-BILINGUAL</t>
        </is>
      </c>
      <c r="M13" s="4" t="inlineStr">
        <is>
          <t>Planning/public context</t>
        </is>
      </c>
      <c r="N13" s="1" t="n"/>
    </row>
    <row r="14" ht="46" customHeight="1">
      <c r="A14" s="1" t="n"/>
      <c r="B14" s="6" t="inlineStr">
        <is>
          <t>CMP-2026-BEAUTY-08</t>
        </is>
      </c>
      <c r="C14" s="6" t="inlineStr">
        <is>
          <t>Campaign</t>
        </is>
      </c>
      <c r="D14" s="6" t="inlineStr">
        <is>
          <t>Glow, Not Pressure</t>
        </is>
      </c>
      <c r="E14" s="6" t="inlineStr">
        <is>
          <t>confidence-first community workshop and moderated creator conversation</t>
        </is>
      </c>
      <c r="F14" s="6" t="inlineStr">
        <is>
          <t>G2 Strategy Selected</t>
        </is>
      </c>
      <c r="G14" s="6" t="inlineStr">
        <is>
          <t>Concept ready</t>
        </is>
      </c>
      <c r="H14" s="6" t="n">
        <v>23400000</v>
      </c>
      <c r="I14" s="6" t="inlineStr">
        <is>
          <t>A consented reflection card unlocks approved education content or a community-session registration.</t>
        </is>
      </c>
      <c r="J14" s="6" t="inlineStr">
        <is>
          <t>confidence and safeguarding</t>
        </is>
      </c>
      <c r="K14" s="6" t="inlineStr">
        <is>
          <t>v1.0</t>
        </is>
      </c>
      <c r="L14" s="6" t="inlineStr">
        <is>
          <t>ZYNTH-20260821-BEAUTY-BILINGUAL</t>
        </is>
      </c>
      <c r="M14" s="6" t="inlineStr">
        <is>
          <t>Planning/public context</t>
        </is>
      </c>
      <c r="N14" s="1" t="n"/>
    </row>
    <row r="15" ht="46" customHeight="1">
      <c r="A15" s="1" t="n"/>
      <c r="B15" s="4" t="inlineStr">
        <is>
          <t>CMP-2026-BEAUTY-09</t>
        </is>
      </c>
      <c r="C15" s="4" t="inlineStr">
        <is>
          <t>Campaign</t>
        </is>
      </c>
      <c r="D15" s="4" t="inlineStr">
        <is>
          <t>Pack to Purpose</t>
        </is>
      </c>
      <c r="E15" s="4" t="inlineStr">
        <is>
          <t>pack-story retail trail and product-information social carousel preparation</t>
        </is>
      </c>
      <c r="F15" s="4" t="inlineStr">
        <is>
          <t>G2 Strategy Selected</t>
        </is>
      </c>
      <c r="G15" s="4" t="inlineStr">
        <is>
          <t>Concept ready</t>
        </is>
      </c>
      <c r="H15" s="4" t="n">
        <v>27600000</v>
      </c>
      <c r="I15" s="4" t="inlineStr">
        <is>
          <t>A pack-question trail leads to a client-approved information hub or retailer-assistance request.</t>
        </is>
      </c>
      <c r="J15" s="4" t="inlineStr">
        <is>
          <t>pack literacy</t>
        </is>
      </c>
      <c r="K15" s="4" t="inlineStr">
        <is>
          <t>v1.0</t>
        </is>
      </c>
      <c r="L15" s="4" t="inlineStr">
        <is>
          <t>ZYNTH-20260821-BEAUTY-BILINGUAL</t>
        </is>
      </c>
      <c r="M15" s="4" t="inlineStr">
        <is>
          <t>Planning/public context</t>
        </is>
      </c>
      <c r="N15" s="1" t="n"/>
    </row>
    <row r="16" ht="46" customHeight="1">
      <c r="A16" s="1" t="n"/>
      <c r="B16" s="6" t="inlineStr">
        <is>
          <t>CMP-2026-BEAUTY-10</t>
        </is>
      </c>
      <c r="C16" s="6" t="inlineStr">
        <is>
          <t>Campaign</t>
        </is>
      </c>
      <c r="D16" s="6" t="inlineStr">
        <is>
          <t>The Next Routine</t>
        </is>
      </c>
      <c r="E16" s="6" t="inlineStr">
        <is>
          <t>consented CRM re-engagement and TikTok/organic content testing sprint</t>
        </is>
      </c>
      <c r="F16" s="6" t="inlineStr">
        <is>
          <t>G2 Strategy Selected</t>
        </is>
      </c>
      <c r="G16" s="6" t="inlineStr">
        <is>
          <t>Concept ready</t>
        </is>
      </c>
      <c r="H16" s="6" t="n">
        <v>16900000</v>
      </c>
      <c r="I16" s="6" t="inlineStr">
        <is>
          <t>A three-choice re-engagement message—learn, revisit, pause—routes to a client-approved information or booking flow.</t>
        </is>
      </c>
      <c r="J16" s="6" t="inlineStr">
        <is>
          <t>permission-based re-engagement</t>
        </is>
      </c>
      <c r="K16" s="6" t="inlineStr">
        <is>
          <t>v1.0</t>
        </is>
      </c>
      <c r="L16" s="6" t="inlineStr">
        <is>
          <t>ZYNTH-20260821-BEAUTY-BILINGUAL</t>
        </is>
      </c>
      <c r="M16" s="6" t="inlineStr">
        <is>
          <t>Planning/public context</t>
        </is>
      </c>
      <c r="N16" s="1" t="n"/>
    </row>
    <row r="17" ht="46" customHeight="1">
      <c r="A17" s="1" t="n"/>
      <c r="B17" s="4" t="inlineStr">
        <is>
          <t>COM-2026-BEAUTY-01</t>
        </is>
      </c>
      <c r="C17" s="4" t="inlineStr">
        <is>
          <t>Commercial</t>
        </is>
      </c>
      <c r="D17" s="4" t="inlineStr">
        <is>
          <t>The Question in the Mirror</t>
        </is>
      </c>
      <c r="E17" s="4" t="inlineStr">
        <is>
          <t>brand education film</t>
        </is>
      </c>
      <c r="F17" s="4" t="inlineStr">
        <is>
          <t>G3 Creative Selected</t>
        </is>
      </c>
      <c r="G17" s="4" t="inlineStr">
        <is>
          <t>Concept storyboard ready</t>
        </is>
      </c>
      <c r="H17" s="4" t="inlineStr">
        <is>
          <t>n/a</t>
        </is>
      </c>
      <c r="I17" s="4" t="inlineStr">
        <is>
          <t>Client-approved CTA required</t>
        </is>
      </c>
      <c r="J17" s="4" t="inlineStr">
        <is>
          <t>12-frame storyboard; social versions gated</t>
        </is>
      </c>
      <c r="K17" s="4" t="inlineStr">
        <is>
          <t>v1.0</t>
        </is>
      </c>
      <c r="L17" s="4" t="inlineStr">
        <is>
          <t>ZYNTH-20260821-BEAUTY-BILINGUAL</t>
        </is>
      </c>
      <c r="M17" s="4" t="inlineStr">
        <is>
          <t>Planning/public context</t>
        </is>
      </c>
      <c r="N17" s="1" t="n"/>
    </row>
    <row r="18" ht="46" customHeight="1">
      <c r="A18" s="1" t="n"/>
      <c r="B18" s="6" t="inlineStr">
        <is>
          <t>COM-2026-BEAUTY-02</t>
        </is>
      </c>
      <c r="C18" s="6" t="inlineStr">
        <is>
          <t>Commercial</t>
        </is>
      </c>
      <c r="D18" s="6" t="inlineStr">
        <is>
          <t>Seven Small Moments</t>
        </is>
      </c>
      <c r="E18" s="6" t="inlineStr">
        <is>
          <t>routine film</t>
        </is>
      </c>
      <c r="F18" s="6" t="inlineStr">
        <is>
          <t>G3 Creative Selected</t>
        </is>
      </c>
      <c r="G18" s="6" t="inlineStr">
        <is>
          <t>Concept storyboard ready</t>
        </is>
      </c>
      <c r="H18" s="6" t="inlineStr">
        <is>
          <t>n/a</t>
        </is>
      </c>
      <c r="I18" s="6" t="inlineStr">
        <is>
          <t>Client-approved CTA required</t>
        </is>
      </c>
      <c r="J18" s="6" t="inlineStr">
        <is>
          <t>12-frame storyboard; social versions gated</t>
        </is>
      </c>
      <c r="K18" s="6" t="inlineStr">
        <is>
          <t>v1.0</t>
        </is>
      </c>
      <c r="L18" s="6" t="inlineStr">
        <is>
          <t>ZYNTH-20260821-BEAUTY-BILINGUAL</t>
        </is>
      </c>
      <c r="M18" s="6" t="inlineStr">
        <is>
          <t>Planning/public context</t>
        </is>
      </c>
      <c r="N18" s="1" t="n"/>
    </row>
    <row r="19" ht="46" customHeight="1">
      <c r="A19" s="1" t="n"/>
      <c r="B19" s="4" t="inlineStr">
        <is>
          <t>COM-2026-BEAUTY-03</t>
        </is>
      </c>
      <c r="C19" s="4" t="inlineStr">
        <is>
          <t>Commercial</t>
        </is>
      </c>
      <c r="D19" s="4" t="inlineStr">
        <is>
          <t>A Colour With a Voice</t>
        </is>
      </c>
      <c r="E19" s="4" t="inlineStr">
        <is>
          <t>self-expression film</t>
        </is>
      </c>
      <c r="F19" s="4" t="inlineStr">
        <is>
          <t>G3 Creative Selected</t>
        </is>
      </c>
      <c r="G19" s="4" t="inlineStr">
        <is>
          <t>Concept storyboard ready</t>
        </is>
      </c>
      <c r="H19" s="4" t="inlineStr">
        <is>
          <t>n/a</t>
        </is>
      </c>
      <c r="I19" s="4" t="inlineStr">
        <is>
          <t>Client-approved CTA required</t>
        </is>
      </c>
      <c r="J19" s="4" t="inlineStr">
        <is>
          <t>12-frame storyboard; social versions gated</t>
        </is>
      </c>
      <c r="K19" s="4" t="inlineStr">
        <is>
          <t>v1.0</t>
        </is>
      </c>
      <c r="L19" s="4" t="inlineStr">
        <is>
          <t>ZYNTH-20260821-BEAUTY-BILINGUAL</t>
        </is>
      </c>
      <c r="M19" s="4" t="inlineStr">
        <is>
          <t>Planning/public context</t>
        </is>
      </c>
      <c r="N19" s="1" t="n"/>
    </row>
    <row r="20" ht="46" customHeight="1">
      <c r="A20" s="1" t="n"/>
      <c r="B20" s="6" t="inlineStr">
        <is>
          <t>COM-2026-BEAUTY-04</t>
        </is>
      </c>
      <c r="C20" s="6" t="inlineStr">
        <is>
          <t>Commercial</t>
        </is>
      </c>
      <c r="D20" s="6" t="inlineStr">
        <is>
          <t>Pause the Scroll</t>
        </is>
      </c>
      <c r="E20" s="6" t="inlineStr">
        <is>
          <t>short-form manifesto</t>
        </is>
      </c>
      <c r="F20" s="6" t="inlineStr">
        <is>
          <t>G3 Creative Selected</t>
        </is>
      </c>
      <c r="G20" s="6" t="inlineStr">
        <is>
          <t>Concept storyboard ready</t>
        </is>
      </c>
      <c r="H20" s="6" t="inlineStr">
        <is>
          <t>n/a</t>
        </is>
      </c>
      <c r="I20" s="6" t="inlineStr">
        <is>
          <t>Client-approved CTA required</t>
        </is>
      </c>
      <c r="J20" s="6" t="inlineStr">
        <is>
          <t>12-frame storyboard; social versions gated</t>
        </is>
      </c>
      <c r="K20" s="6" t="inlineStr">
        <is>
          <t>v1.0</t>
        </is>
      </c>
      <c r="L20" s="6" t="inlineStr">
        <is>
          <t>ZYNTH-20260821-BEAUTY-BILINGUAL</t>
        </is>
      </c>
      <c r="M20" s="6" t="inlineStr">
        <is>
          <t>Planning/public context</t>
        </is>
      </c>
      <c r="N20" s="1" t="n"/>
    </row>
    <row r="21" ht="46" customHeight="1">
      <c r="A21" s="1" t="n"/>
      <c r="B21" s="4" t="inlineStr">
        <is>
          <t>COM-2026-BEAUTY-05</t>
        </is>
      </c>
      <c r="C21" s="4" t="inlineStr">
        <is>
          <t>Commercial</t>
        </is>
      </c>
      <c r="D21" s="4" t="inlineStr">
        <is>
          <t>The Return Ritual</t>
        </is>
      </c>
      <c r="E21" s="4" t="inlineStr">
        <is>
          <t>aftercare film</t>
        </is>
      </c>
      <c r="F21" s="4" t="inlineStr">
        <is>
          <t>G3 Creative Selected</t>
        </is>
      </c>
      <c r="G21" s="4" t="inlineStr">
        <is>
          <t>Concept storyboard ready</t>
        </is>
      </c>
      <c r="H21" s="4" t="inlineStr">
        <is>
          <t>n/a</t>
        </is>
      </c>
      <c r="I21" s="4" t="inlineStr">
        <is>
          <t>Client-approved CTA required</t>
        </is>
      </c>
      <c r="J21" s="4" t="inlineStr">
        <is>
          <t>12-frame storyboard; social versions gated</t>
        </is>
      </c>
      <c r="K21" s="4" t="inlineStr">
        <is>
          <t>v1.0</t>
        </is>
      </c>
      <c r="L21" s="4" t="inlineStr">
        <is>
          <t>ZYNTH-20260821-BEAUTY-BILINGUAL</t>
        </is>
      </c>
      <c r="M21" s="4" t="inlineStr">
        <is>
          <t>Planning/public context</t>
        </is>
      </c>
      <c r="N21" s="1" t="n"/>
    </row>
    <row r="22" ht="46" customHeight="1">
      <c r="A22" s="1" t="n"/>
      <c r="B22" s="6" t="inlineStr">
        <is>
          <t>COM-2026-BEAUTY-06</t>
        </is>
      </c>
      <c r="C22" s="6" t="inlineStr">
        <is>
          <t>Commercial</t>
        </is>
      </c>
      <c r="D22" s="6" t="inlineStr">
        <is>
          <t>After the Day</t>
        </is>
      </c>
      <c r="E22" s="6" t="inlineStr">
        <is>
          <t>evening brand film</t>
        </is>
      </c>
      <c r="F22" s="6" t="inlineStr">
        <is>
          <t>G3 Creative Selected</t>
        </is>
      </c>
      <c r="G22" s="6" t="inlineStr">
        <is>
          <t>Concept storyboard ready</t>
        </is>
      </c>
      <c r="H22" s="6" t="inlineStr">
        <is>
          <t>n/a</t>
        </is>
      </c>
      <c r="I22" s="6" t="inlineStr">
        <is>
          <t>Client-approved CTA required</t>
        </is>
      </c>
      <c r="J22" s="6" t="inlineStr">
        <is>
          <t>12-frame storyboard; social versions gated</t>
        </is>
      </c>
      <c r="K22" s="6" t="inlineStr">
        <is>
          <t>v1.0</t>
        </is>
      </c>
      <c r="L22" s="6" t="inlineStr">
        <is>
          <t>ZYNTH-20260821-BEAUTY-BILINGUAL</t>
        </is>
      </c>
      <c r="M22" s="6" t="inlineStr">
        <is>
          <t>Planning/public context</t>
        </is>
      </c>
      <c r="N22" s="1" t="n"/>
    </row>
    <row r="23" ht="46" customHeight="1">
      <c r="A23" s="1" t="n"/>
      <c r="B23" s="4" t="inlineStr">
        <is>
          <t>COM-2026-BEAUTY-07</t>
        </is>
      </c>
      <c r="C23" s="4" t="inlineStr">
        <is>
          <t>Commercial</t>
        </is>
      </c>
      <c r="D23" s="4" t="inlineStr">
        <is>
          <t>The Language of Texture</t>
        </is>
      </c>
      <c r="E23" s="4" t="inlineStr">
        <is>
          <t>macro sensory film</t>
        </is>
      </c>
      <c r="F23" s="4" t="inlineStr">
        <is>
          <t>G3 Creative Selected</t>
        </is>
      </c>
      <c r="G23" s="4" t="inlineStr">
        <is>
          <t>Concept storyboard ready</t>
        </is>
      </c>
      <c r="H23" s="4" t="inlineStr">
        <is>
          <t>n/a</t>
        </is>
      </c>
      <c r="I23" s="4" t="inlineStr">
        <is>
          <t>Client-approved CTA required</t>
        </is>
      </c>
      <c r="J23" s="4" t="inlineStr">
        <is>
          <t>12-frame storyboard; social versions gated</t>
        </is>
      </c>
      <c r="K23" s="4" t="inlineStr">
        <is>
          <t>v1.0</t>
        </is>
      </c>
      <c r="L23" s="4" t="inlineStr">
        <is>
          <t>ZYNTH-20260821-BEAUTY-BILINGUAL</t>
        </is>
      </c>
      <c r="M23" s="4" t="inlineStr">
        <is>
          <t>Planning/public context</t>
        </is>
      </c>
      <c r="N23" s="1" t="n"/>
    </row>
    <row r="24" ht="46" customHeight="1">
      <c r="A24" s="1" t="n"/>
      <c r="B24" s="6" t="inlineStr">
        <is>
          <t>COM-2026-BEAUTY-08</t>
        </is>
      </c>
      <c r="C24" s="6" t="inlineStr">
        <is>
          <t>Commercial</t>
        </is>
      </c>
      <c r="D24" s="6" t="inlineStr">
        <is>
          <t>No Comparison Needed</t>
        </is>
      </c>
      <c r="E24" s="6" t="inlineStr">
        <is>
          <t>community film</t>
        </is>
      </c>
      <c r="F24" s="6" t="inlineStr">
        <is>
          <t>G3 Creative Selected</t>
        </is>
      </c>
      <c r="G24" s="6" t="inlineStr">
        <is>
          <t>Concept storyboard ready</t>
        </is>
      </c>
      <c r="H24" s="6" t="inlineStr">
        <is>
          <t>n/a</t>
        </is>
      </c>
      <c r="I24" s="6" t="inlineStr">
        <is>
          <t>Client-approved CTA required</t>
        </is>
      </c>
      <c r="J24" s="6" t="inlineStr">
        <is>
          <t>12-frame storyboard; social versions gated</t>
        </is>
      </c>
      <c r="K24" s="6" t="inlineStr">
        <is>
          <t>v1.0</t>
        </is>
      </c>
      <c r="L24" s="6" t="inlineStr">
        <is>
          <t>ZYNTH-20260821-BEAUTY-BILINGUAL</t>
        </is>
      </c>
      <c r="M24" s="6" t="inlineStr">
        <is>
          <t>Planning/public context</t>
        </is>
      </c>
      <c r="N24" s="1" t="n"/>
    </row>
    <row r="25" ht="46" customHeight="1">
      <c r="A25" s="1" t="n"/>
      <c r="B25" s="4" t="inlineStr">
        <is>
          <t>COM-2026-BEAUTY-09</t>
        </is>
      </c>
      <c r="C25" s="4" t="inlineStr">
        <is>
          <t>Commercial</t>
        </is>
      </c>
      <c r="D25" s="4" t="inlineStr">
        <is>
          <t>Read Before Repeat</t>
        </is>
      </c>
      <c r="E25" s="4" t="inlineStr">
        <is>
          <t>pack literacy film</t>
        </is>
      </c>
      <c r="F25" s="4" t="inlineStr">
        <is>
          <t>G3 Creative Selected</t>
        </is>
      </c>
      <c r="G25" s="4" t="inlineStr">
        <is>
          <t>Concept storyboard ready</t>
        </is>
      </c>
      <c r="H25" s="4" t="inlineStr">
        <is>
          <t>n/a</t>
        </is>
      </c>
      <c r="I25" s="4" t="inlineStr">
        <is>
          <t>Client-approved CTA required</t>
        </is>
      </c>
      <c r="J25" s="4" t="inlineStr">
        <is>
          <t>12-frame storyboard; social versions gated</t>
        </is>
      </c>
      <c r="K25" s="4" t="inlineStr">
        <is>
          <t>v1.0</t>
        </is>
      </c>
      <c r="L25" s="4" t="inlineStr">
        <is>
          <t>ZYNTH-20260821-BEAUTY-BILINGUAL</t>
        </is>
      </c>
      <c r="M25" s="4" t="inlineStr">
        <is>
          <t>Planning/public context</t>
        </is>
      </c>
      <c r="N25" s="1" t="n"/>
    </row>
    <row r="26" ht="46" customHeight="1">
      <c r="A26" s="1" t="n"/>
      <c r="B26" s="6" t="inlineStr">
        <is>
          <t>COM-2026-BEAUTY-10</t>
        </is>
      </c>
      <c r="C26" s="6" t="inlineStr">
        <is>
          <t>Commercial</t>
        </is>
      </c>
      <c r="D26" s="6" t="inlineStr">
        <is>
          <t>Permission to Begin Again</t>
        </is>
      </c>
      <c r="E26" s="6" t="inlineStr">
        <is>
          <t>CRM reactivation film</t>
        </is>
      </c>
      <c r="F26" s="6" t="inlineStr">
        <is>
          <t>G3 Creative Selected</t>
        </is>
      </c>
      <c r="G26" s="6" t="inlineStr">
        <is>
          <t>Concept storyboard ready</t>
        </is>
      </c>
      <c r="H26" s="6" t="inlineStr">
        <is>
          <t>n/a</t>
        </is>
      </c>
      <c r="I26" s="6" t="inlineStr">
        <is>
          <t>Client-approved CTA required</t>
        </is>
      </c>
      <c r="J26" s="6" t="inlineStr">
        <is>
          <t>12-frame storyboard; social versions gated</t>
        </is>
      </c>
      <c r="K26" s="6" t="inlineStr">
        <is>
          <t>v1.0</t>
        </is>
      </c>
      <c r="L26" s="6" t="inlineStr">
        <is>
          <t>ZYNTH-20260821-BEAUTY-BILINGUAL</t>
        </is>
      </c>
      <c r="M26" s="6" t="inlineStr">
        <is>
          <t>Planning/public context</t>
        </is>
      </c>
      <c r="N26" s="1" t="n"/>
    </row>
  </sheetData>
  <autoFilter ref="B6:M26"/>
  <mergeCells count="2">
    <mergeCell ref="B3:N3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2026-08-21T07:59:36Z</dcterms:created>
  <dcterms:modified xmlns:dcterms="http://purl.org/dc/terms/" xmlns:xsi="http://www.w3.org/2001/XMLSchema-instance" xsi:type="dcterms:W3CDTF">2026-08-21T07:59:36Z</dcterms:modified>
</cp:coreProperties>
</file>