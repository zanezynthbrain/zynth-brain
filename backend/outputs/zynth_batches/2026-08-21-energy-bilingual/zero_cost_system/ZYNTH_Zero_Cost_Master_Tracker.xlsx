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ommercials" sheetId="3" state="visible" r:id="rId3"/>
    <sheet xmlns:r="http://schemas.openxmlformats.org/officeDocument/2006/relationships" name="Research &amp; Sources" sheetId="4" state="visible" r:id="rId4"/>
    <sheet xmlns:r="http://schemas.openxmlformats.org/officeDocument/2006/relationships" name="AI Council" sheetId="5" state="visible" r:id="rId5"/>
    <sheet xmlns:r="http://schemas.openxmlformats.org/officeDocument/2006/relationships" name="Ops" sheetId="6" state="visible" r:id="rId6"/>
    <sheet xmlns:r="http://schemas.openxmlformats.org/officeDocument/2006/relationships" name="Learning &amp; Guide" sheetId="7" state="visible" r:id="rId7"/>
  </sheets>
  <definedNames>
    <definedName name="_xlnm._FilterDatabase" localSheetId="0" hidden="1">'Overview'!$B$18:$K$28</definedName>
    <definedName name="_xlnm._FilterDatabase" localSheetId="1" hidden="1">'Campaigns'!$B$6:$W$16</definedName>
    <definedName name="_xlnm._FilterDatabase" localSheetId="2" hidden="1">'Commercials'!$B$6:$Y$16</definedName>
    <definedName name="_xlnm._FilterDatabase" localSheetId="3" hidden="1">'Research &amp; Sources'!$B$6:$K$12</definedName>
    <definedName name="_xlnm._FilterDatabase" localSheetId="4" hidden="1">'AI Council'!$B$6:$O$16</definedName>
    <definedName name="_xlnm._FilterDatabase" localSheetId="5" hidden="1">'Ops'!$B$6:$N$12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Noto Sans Myanmar"/>
      <b val="1"/>
      <color rgb="0017324D"/>
      <sz val="20"/>
    </font>
    <font>
      <name val="Noto Sans Myanmar"/>
      <i val="1"/>
      <color rgb="00667085"/>
      <sz val="10"/>
    </font>
    <font>
      <name val="Noto Sans Myanmar"/>
      <b val="1"/>
      <color rgb="0017324D"/>
      <sz val="12"/>
    </font>
    <font>
      <name val="Noto Sans Myanmar"/>
      <b val="1"/>
      <color rgb="00FFFFFF"/>
      <sz val="10"/>
    </font>
    <font>
      <name val="Noto Sans Myanmar"/>
      <color rgb="00101828"/>
      <sz val="10"/>
    </font>
    <font>
      <name val="Noto Sans Myanmar"/>
      <color rgb="00344054"/>
      <sz val="10"/>
    </font>
    <font>
      <name val="Noto Sans Myanmar"/>
      <b val="1"/>
      <color rgb="00667085"/>
      <sz val="10"/>
    </font>
    <font>
      <name val="Noto Sans Myanmar"/>
      <b val="1"/>
      <color rgb="0017324D"/>
      <sz val="22"/>
    </font>
    <font>
      <name val="Noto Sans Myanmar"/>
      <i val="1"/>
      <color rgb="00667085"/>
      <sz val="9"/>
    </font>
    <font>
      <name val="Noto Sans Myanmar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E8F5F2"/>
      </patternFill>
    </fill>
    <fill>
      <patternFill patternType="solid">
        <fgColor rgb="0017324D"/>
      </patternFill>
    </fill>
    <fill>
      <patternFill patternType="solid">
        <fgColor rgb="00FFFFFF"/>
      </patternFill>
    </fill>
    <fill>
      <patternFill patternType="solid">
        <fgColor rgb="00FAFBFC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FFF9F2"/>
      </patternFill>
    </fill>
    <fill>
      <patternFill patternType="solid">
        <fgColor rgb="00E6F3FF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medium">
        <color rgb="0017324D"/>
      </bottom>
    </border>
    <border>
      <left style="thin">
        <color rgb="00D0D5DD"/>
      </left>
      <right/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 style="thin">
        <color rgb="00D0D5DD"/>
      </bottom>
    </border>
    <border>
      <left/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7" fillId="9" borderId="5" applyAlignment="1" pivotButton="0" quotePrefix="0" xfId="0">
      <alignment horizontal="left" vertical="center"/>
    </xf>
    <xf numFmtId="0" fontId="0" fillId="0" borderId="5" pivotButton="0" quotePrefix="0" xfId="0"/>
    <xf numFmtId="0" fontId="8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wrapText="1" indent="1"/>
    </xf>
    <xf numFmtId="3" fontId="5" fillId="4" borderId="3" applyAlignment="1" pivotButton="0" quotePrefix="0" xfId="0">
      <alignment horizontal="center" vertical="center"/>
    </xf>
    <xf numFmtId="164" fontId="5" fillId="4" borderId="3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 wrapText="1" indent="1"/>
    </xf>
    <xf numFmtId="3" fontId="5" fillId="5" borderId="3" applyAlignment="1" pivotButton="0" quotePrefix="0" xfId="0">
      <alignment horizontal="center" vertical="center"/>
    </xf>
    <xf numFmtId="164" fontId="5" fillId="5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 wrapText="1" indent="1"/>
    </xf>
    <xf numFmtId="0" fontId="3" fillId="7" borderId="0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8" borderId="5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BC"/>
        </patternFill>
      </fill>
    </dxf>
    <dxf>
      <fill>
        <patternFill patternType="solid">
          <fgColor rgb="00E8F5E9"/>
        </patternFill>
      </fill>
    </dxf>
    <dxf>
      <fill>
        <patternFill patternType="solid">
          <fgColor rgb="00E8F5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by Track</a:t>
            </a:r>
          </a:p>
        </rich>
      </tx>
    </title>
    <plotArea>
      <doughnutChart>
        <varyColors val="1"/>
        <ser>
          <idx val="0"/>
          <order val="0"/>
          <tx>
            <strRef>
              <f>'Overview'!C32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'Overview'!$B$33:$B$34</f>
            </numRef>
          </cat>
          <val>
            <numRef>
              <f>'Overview'!$C$33:$C$34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 Campaign Budget (MMK)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'Campaigns'!N6</f>
            </strRef>
          </tx>
          <spPr>
            <a:solidFill xmlns:a="http://schemas.openxmlformats.org/drawingml/2006/main">
              <a:srgbClr val="1A5F5F"/>
            </a:solidFill>
            <a:ln xmlns:a="http://schemas.openxmlformats.org/drawingml/2006/main">
              <a:prstDash val="solid"/>
            </a:ln>
          </spPr>
          <cat>
            <numRef>
              <f>'Campaigns'!$B$7:$B$16</f>
            </numRef>
          </cat>
          <val>
            <numRef>
              <f>'Campaigns'!$N$7:$N$16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Concept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ZYNTH</author>
  </authors>
  <commentList>
    <comment ref="B6" authorId="0" shapeId="0">
      <text>
        <t>Rows are canonical records. Add new rows under the table and preserve the existing Record ID.</t>
      </text>
    </comment>
  </commentList>
</comments>
</file>

<file path=xl/comments/comment2.xml><?xml version="1.0" encoding="utf-8"?>
<comments xmlns="http://schemas.openxmlformats.org/spreadsheetml/2006/main">
  <authors>
    <author>ZYNTH</author>
  </authors>
  <commentList>
    <comment ref="B6" authorId="0" shapeId="0">
      <text>
        <t>Rows are canonical records. Add new rows under the table and preserve the existing Record ID.</t>
      </text>
    </comment>
  </commentList>
</comments>
</file>

<file path=xl/comments/comment3.xml><?xml version="1.0" encoding="utf-8"?>
<comments xmlns="http://schemas.openxmlformats.org/spreadsheetml/2006/main">
  <authors>
    <author>ZYNTH</author>
  </authors>
  <commentList>
    <comment ref="B6" authorId="0" shapeId="0">
      <text>
        <t>Rows are canonical records. Add new rows under the table and preserve the existing Record ID.</t>
      </text>
    </comment>
  </commentList>
</comments>
</file>

<file path=xl/comments/comment4.xml><?xml version="1.0" encoding="utf-8"?>
<comments xmlns="http://schemas.openxmlformats.org/spreadsheetml/2006/main">
  <authors>
    <author>ZYNTH</author>
  </authors>
  <commentList>
    <comment ref="B6" authorId="0" shapeId="0">
      <text>
        <t>Rows are canonical records. Add new rows under the table and preserve the existing Record ID.</t>
      </text>
    </comment>
  </commentList>
</comments>
</file>

<file path=xl/comments/comment5.xml><?xml version="1.0" encoding="utf-8"?>
<comments xmlns="http://schemas.openxmlformats.org/spreadsheetml/2006/main">
  <authors>
    <author>ZYNTH</author>
  </authors>
  <commentList>
    <comment ref="B6" authorId="0" shapeId="0">
      <text>
        <t>Rows are canonical records. Add new rows under the table and preserve the existing Record ID.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35</row>
      <rowOff>0</rowOff>
    </from>
    <ext cx="28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35</row>
      <rowOff>0</rowOff>
    </from>
    <ext cx="61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zanezynthbrain/zynth-brain/tree/main/backend/outputs/zynth_batches/2026-08-21-energy-bilingual" TargetMode="External" Id="rId1"/><Relationship Type="http://schemas.openxmlformats.org/officeDocument/2006/relationships/hyperlink" Target="https://github.com/zanezynthbrain/zynth-brain/tree/main/backend/outputs/zynth_batches/2026-08-21-energy-bilingual" TargetMode="External" Id="rId2"/><Relationship Type="http://schemas.openxmlformats.org/officeDocument/2006/relationships/hyperlink" Target="https://github.com/zanezynthbrain/zynth-brain/tree/main/backend/outputs/zynth_batches/2026-08-21-energy-bilingual" TargetMode="External" Id="rId3"/><Relationship Type="http://schemas.openxmlformats.org/officeDocument/2006/relationships/hyperlink" Target="https://github.com/zanezynthbrain/zynth-brain/tree/main/backend/outputs/zynth_batches/2026-08-21-energy-bilingual" TargetMode="External" Id="rId4"/><Relationship Type="http://schemas.openxmlformats.org/officeDocument/2006/relationships/hyperlink" Target="https://github.com/zanezynthbrain/zynth-brain/tree/main/backend/outputs/zynth_batches/2026-08-21-energy-bilingual" TargetMode="External" Id="rId5"/><Relationship Type="http://schemas.openxmlformats.org/officeDocument/2006/relationships/hyperlink" Target="https://github.com/zanezynthbrain/zynth-brain/tree/main/backend/outputs/zynth_batches/2026-08-21-energy-bilingual" TargetMode="External" Id="rId6"/><Relationship Type="http://schemas.openxmlformats.org/officeDocument/2006/relationships/hyperlink" Target="https://github.com/zanezynthbrain/zynth-brain/tree/main/backend/outputs/zynth_batches/2026-08-21-energy-bilingual" TargetMode="External" Id="rId7"/><Relationship Type="http://schemas.openxmlformats.org/officeDocument/2006/relationships/hyperlink" Target="https://github.com/zanezynthbrain/zynth-brain/tree/main/backend/outputs/zynth_batches/2026-08-21-energy-bilingual" TargetMode="External" Id="rId8"/><Relationship Type="http://schemas.openxmlformats.org/officeDocument/2006/relationships/hyperlink" Target="https://github.com/zanezynthbrain/zynth-brain/tree/main/backend/outputs/zynth_batches/2026-08-21-energy-bilingual" TargetMode="External" Id="rId9"/><Relationship Type="http://schemas.openxmlformats.org/officeDocument/2006/relationships/hyperlink" Target="https://github.com/zanezynthbrain/zynth-brain/tree/main/backend/outputs/zynth_batches/2026-08-21-energy-bilingual" TargetMode="External" Id="rId1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zanezynthbrain/zynth-brain/tree/main/backend/outputs/zynth_batches/2026-08-21-energy-bilingual" TargetMode="External" Id="rId1"/><Relationship Type="http://schemas.openxmlformats.org/officeDocument/2006/relationships/hyperlink" Target="https://github.com/zanezynthbrain/zynth-brain/tree/main/backend/outputs/zynth_batches/2026-08-21-energy-bilingual" TargetMode="External" Id="rId2"/><Relationship Type="http://schemas.openxmlformats.org/officeDocument/2006/relationships/hyperlink" Target="https://github.com/zanezynthbrain/zynth-brain/tree/main/backend/outputs/zynth_batches/2026-08-21-energy-bilingual" TargetMode="External" Id="rId3"/><Relationship Type="http://schemas.openxmlformats.org/officeDocument/2006/relationships/hyperlink" Target="https://github.com/zanezynthbrain/zynth-brain/tree/main/backend/outputs/zynth_batches/2026-08-21-energy-bilingual" TargetMode="External" Id="rId4"/><Relationship Type="http://schemas.openxmlformats.org/officeDocument/2006/relationships/hyperlink" Target="https://github.com/zanezynthbrain/zynth-brain/tree/main/backend/outputs/zynth_batches/2026-08-21-energy-bilingual" TargetMode="External" Id="rId5"/><Relationship Type="http://schemas.openxmlformats.org/officeDocument/2006/relationships/hyperlink" Target="https://github.com/zanezynthbrain/zynth-brain/tree/main/backend/outputs/zynth_batches/2026-08-21-energy-bilingual" TargetMode="External" Id="rId6"/><Relationship Type="http://schemas.openxmlformats.org/officeDocument/2006/relationships/hyperlink" Target="https://github.com/zanezynthbrain/zynth-brain/tree/main/backend/outputs/zynth_batches/2026-08-21-energy-bilingual" TargetMode="External" Id="rId7"/><Relationship Type="http://schemas.openxmlformats.org/officeDocument/2006/relationships/hyperlink" Target="https://github.com/zanezynthbrain/zynth-brain/tree/main/backend/outputs/zynth_batches/2026-08-21-energy-bilingual" TargetMode="External" Id="rId8"/><Relationship Type="http://schemas.openxmlformats.org/officeDocument/2006/relationships/hyperlink" Target="https://github.com/zanezynthbrain/zynth-brain/tree/main/backend/outputs/zynth_batches/2026-08-21-energy-bilingual" TargetMode="External" Id="rId9"/><Relationship Type="http://schemas.openxmlformats.org/officeDocument/2006/relationships/hyperlink" Target="https://github.com/zanezynthbrain/zynth-brain/tree/main/backend/outputs/zynth_batches/2026-08-21-energy-bilingual" TargetMode="External" Id="rId10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reuters.com/sustainability/climate-energy/war-torn-myanmar-embraces-solar-tackle-power-crisis-2025-11-14/" TargetMode="External" Id="rId1"/><Relationship Type="http://schemas.openxmlformats.org/officeDocument/2006/relationships/hyperlink" Target="https://english.news.cn/20260118/765dc93ac49a481d8ffbcc1972c01516/c.html" TargetMode="External" Id="rId2"/><Relationship Type="http://schemas.openxmlformats.org/officeDocument/2006/relationships/hyperlink" Target="https://www.smartpowermyanmar.org/" TargetMode="External" Id="rId3"/><Relationship Type="http://schemas.openxmlformats.org/officeDocument/2006/relationships/hyperlink" Target="https://www.gnlm.com.mm/efficiently-generate-solar-energy-for-the-state/" TargetMode="External" Id="rId4"/><Relationship Type="http://schemas.openxmlformats.org/officeDocument/2006/relationships/hyperlink" Target="https://www.mofa.gov.mm/about-myanmar/public-holidays/" TargetMode="External" Id="rId5"/><Relationship Type="http://schemas.openxmlformats.org/officeDocument/2006/relationships/hyperlink" Target="https://www.youtube.com/watch?v=9-S7urcEX2U" TargetMode="External" Id="rId6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A5F5F"/>
    <outlinePr summaryBelow="1" summaryRight="1"/>
    <pageSetUpPr/>
  </sheetPr>
  <dimension ref="B2:L34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3" customWidth="1" min="3" max="3"/>
    <col width="34" customWidth="1" min="4" max="4"/>
    <col width="21" customWidth="1" min="5" max="5"/>
    <col width="18" customWidth="1" min="6" max="6"/>
    <col width="34" customWidth="1" min="7" max="7"/>
    <col width="21" customWidth="1" min="8" max="8"/>
    <col width="18" customWidth="1" min="9" max="9"/>
    <col width="12" customWidth="1" min="10" max="10"/>
    <col width="24" customWidth="1" min="11" max="11"/>
    <col width="4" customWidth="1" min="12" max="12"/>
  </cols>
  <sheetData>
    <row r="2" ht="30" customHeight="1">
      <c r="B2" s="1" t="inlineStr">
        <is>
          <t>ZYNTH Command Center — Zero-Cost-First</t>
        </is>
      </c>
    </row>
    <row r="3" ht="26" customHeight="1">
      <c r="B3" s="2" t="inlineStr">
        <is>
          <t>One living proposal portfolio. Update the records below; do not make a new workbook for every batch. Generated 2026-08-21 UTC.</t>
        </is>
      </c>
    </row>
    <row r="5" ht="23" customHeight="1">
      <c r="B5" s="3" t="inlineStr">
        <is>
          <t>PORTFOLIO SNAPSHOT</t>
        </is>
      </c>
    </row>
    <row r="7">
      <c r="B7" s="4" t="inlineStr">
        <is>
          <t>Campaign concepts</t>
        </is>
      </c>
      <c r="C7" s="5" t="n"/>
      <c r="E7" s="4" t="inlineStr">
        <is>
          <t>Commercial concepts</t>
        </is>
      </c>
      <c r="F7" s="5" t="n"/>
      <c r="H7" s="4" t="inlineStr">
        <is>
          <t>Research claims</t>
        </is>
      </c>
      <c r="I7" s="5" t="n"/>
    </row>
    <row r="8" ht="24" customHeight="1">
      <c r="B8" s="6">
        <f>COUNTA(Campaigns!B7:B200)</f>
        <v/>
      </c>
      <c r="C8" s="5" t="n"/>
      <c r="E8" s="6">
        <f>COUNTA(Commercials!B7:B200)</f>
        <v/>
      </c>
      <c r="F8" s="5" t="n"/>
      <c r="H8" s="6">
        <f>COUNTA('Research &amp; Sources'!B7:B200)</f>
        <v/>
      </c>
      <c r="I8" s="5" t="n"/>
    </row>
    <row r="9" ht="24" customHeight="1">
      <c r="B9" s="5" t="n"/>
      <c r="C9" s="5" t="n"/>
      <c r="E9" s="5" t="n"/>
      <c r="F9" s="5" t="n"/>
      <c r="H9" s="5" t="n"/>
      <c r="I9" s="5" t="n"/>
    </row>
    <row r="10">
      <c r="B10" s="7" t="inlineStr">
        <is>
          <t>Campaigns</t>
        </is>
      </c>
      <c r="C10" s="5" t="n"/>
      <c r="E10" s="7" t="inlineStr">
        <is>
          <t>Standalone commercial/storyboard seeds</t>
        </is>
      </c>
      <c r="F10" s="5" t="n"/>
      <c r="H10" s="7" t="inlineStr">
        <is>
          <t>Verified/context claims logged</t>
        </is>
      </c>
      <c r="I10" s="5" t="n"/>
    </row>
    <row r="11">
      <c r="B11" s="4" t="inlineStr">
        <is>
          <t>Pending AI decisions</t>
        </is>
      </c>
      <c r="C11" s="5" t="n"/>
      <c r="E11" s="4" t="inlineStr">
        <is>
          <t>Open / at-risk tasks</t>
        </is>
      </c>
      <c r="F11" s="5" t="n"/>
      <c r="H11" s="4" t="inlineStr">
        <is>
          <t>Approved / live campaigns</t>
        </is>
      </c>
      <c r="I11" s="5" t="n"/>
    </row>
    <row r="12" ht="24" customHeight="1">
      <c r="B12" s="6">
        <f>COUNTIF('AI Council'!K7:K200,"Pending")</f>
        <v/>
      </c>
      <c r="C12" s="5" t="n"/>
      <c r="E12" s="6">
        <f>COUNTIFS(Ops!J7:J200,"&lt;&gt;Closed",Ops!J7:J200,"&lt;&gt;Completed")</f>
        <v/>
      </c>
      <c r="F12" s="5" t="n"/>
      <c r="H12" s="6">
        <f>COUNTIF(Campaigns!J7:J200,"Approved")+COUNTIF(Campaigns!J7:J200,"Live")</f>
        <v/>
      </c>
      <c r="I12" s="5" t="n"/>
    </row>
    <row r="13" ht="24" customHeight="1">
      <c r="B13" s="5" t="n"/>
      <c r="C13" s="5" t="n"/>
      <c r="E13" s="5" t="n"/>
      <c r="F13" s="5" t="n"/>
      <c r="H13" s="5" t="n"/>
      <c r="I13" s="5" t="n"/>
    </row>
    <row r="14">
      <c r="B14" s="7" t="inlineStr">
        <is>
          <t>Human decision required</t>
        </is>
      </c>
      <c r="C14" s="5" t="n"/>
      <c r="E14" s="7" t="inlineStr">
        <is>
          <t>Operational follow-through</t>
        </is>
      </c>
      <c r="F14" s="5" t="n"/>
      <c r="H14" s="7" t="inlineStr">
        <is>
          <t>Ready or currently active</t>
        </is>
      </c>
      <c r="I14" s="5" t="n"/>
    </row>
    <row r="17" ht="23" customHeight="1">
      <c r="B17" s="8" t="inlineStr">
        <is>
          <t>CURRENT BATCH — WHAT REQUIRES A DECISION?</t>
        </is>
      </c>
    </row>
    <row r="18" ht="36" customHeight="1">
      <c r="B18" s="9" t="inlineStr">
        <is>
          <t>Track</t>
        </is>
      </c>
      <c r="C18" s="9" t="inlineStr">
        <is>
          <t>Record ID</t>
        </is>
      </c>
      <c r="D18" s="9" t="inlineStr">
        <is>
          <t>Title</t>
        </is>
      </c>
      <c r="E18" s="9" t="inlineStr">
        <is>
          <t>Current Stage</t>
        </is>
      </c>
      <c r="F18" s="9" t="inlineStr">
        <is>
          <t>Status</t>
        </is>
      </c>
      <c r="G18" s="9" t="inlineStr">
        <is>
          <t>Next Gate</t>
        </is>
      </c>
      <c r="H18" s="9" t="inlineStr">
        <is>
          <t>Owner</t>
        </is>
      </c>
      <c r="I18" s="9" t="inlineStr">
        <is>
          <t>Recommended Budget (MMK)</t>
        </is>
      </c>
      <c r="J18" s="9" t="inlineStr">
        <is>
          <t>Base ROI</t>
        </is>
      </c>
      <c r="K18" s="9" t="inlineStr">
        <is>
          <t>Latest Asset</t>
        </is>
      </c>
    </row>
    <row r="19" ht="38" customHeight="1">
      <c r="B19" s="10" t="inlineStr">
        <is>
          <t>Campaign</t>
        </is>
      </c>
      <c r="C19" s="11" t="inlineStr">
        <is>
          <t>CMP-2026-ENERGY-01</t>
        </is>
      </c>
      <c r="D19" s="12" t="inlineStr">
        <is>
          <t>The Continuity Clinic</t>
        </is>
      </c>
      <c r="E19" s="12" t="inlineStr">
        <is>
          <t>G3 Creative Selected</t>
        </is>
      </c>
      <c r="F19" s="11" t="inlineStr">
        <is>
          <t>In Review</t>
        </is>
      </c>
      <c r="G19" s="12" t="inlineStr">
        <is>
          <t>Client route selection / detailed feasibility</t>
        </is>
      </c>
      <c r="H19" s="12" t="inlineStr">
        <is>
          <t>ZYNTH Strategy Lead</t>
        </is>
      </c>
      <c r="I19" s="13" t="n">
        <v>39600000</v>
      </c>
      <c r="J19" s="14">
        <f>IFERROR((Campaigns!R7-Campaigns!N7)/Campaigns!N7,"")</f>
        <v/>
      </c>
      <c r="K19" s="15" t="inlineStr">
        <is>
          <t>Open Campaigns tab</t>
        </is>
      </c>
    </row>
    <row r="20" ht="38" customHeight="1">
      <c r="B20" s="16" t="inlineStr">
        <is>
          <t>Campaign</t>
        </is>
      </c>
      <c r="C20" s="17" t="inlineStr">
        <is>
          <t>CMP-2026-ENERGY-02</t>
        </is>
      </c>
      <c r="D20" s="18" t="inlineStr">
        <is>
          <t>Power Proof Roadshow</t>
        </is>
      </c>
      <c r="E20" s="18" t="inlineStr">
        <is>
          <t>G3 Creative Selected</t>
        </is>
      </c>
      <c r="F20" s="17" t="inlineStr">
        <is>
          <t>In Review</t>
        </is>
      </c>
      <c r="G20" s="18" t="inlineStr">
        <is>
          <t>Client route selection / detailed feasibility</t>
        </is>
      </c>
      <c r="H20" s="18" t="inlineStr">
        <is>
          <t>ZYNTH Strategy Lead</t>
        </is>
      </c>
      <c r="I20" s="19" t="n">
        <v>68400000</v>
      </c>
      <c r="J20" s="20">
        <f>IFERROR((Campaigns!R8-Campaigns!N8)/Campaigns!N8,"")</f>
        <v/>
      </c>
      <c r="K20" s="21" t="inlineStr">
        <is>
          <t>Open Campaigns tab</t>
        </is>
      </c>
    </row>
    <row r="21" ht="38" customHeight="1">
      <c r="B21" s="10" t="inlineStr">
        <is>
          <t>Campaign</t>
        </is>
      </c>
      <c r="C21" s="11" t="inlineStr">
        <is>
          <t>CMP-2026-ENERGY-03</t>
        </is>
      </c>
      <c r="D21" s="12" t="inlineStr">
        <is>
          <t>Night Shift, No Pause</t>
        </is>
      </c>
      <c r="E21" s="12" t="inlineStr">
        <is>
          <t>G3 Creative Selected</t>
        </is>
      </c>
      <c r="F21" s="11" t="inlineStr">
        <is>
          <t>In Review</t>
        </is>
      </c>
      <c r="G21" s="12" t="inlineStr">
        <is>
          <t>Client route selection / detailed feasibility</t>
        </is>
      </c>
      <c r="H21" s="12" t="inlineStr">
        <is>
          <t>ZYNTH Strategy Lead</t>
        </is>
      </c>
      <c r="I21" s="13" t="n">
        <v>46900000</v>
      </c>
      <c r="J21" s="14">
        <f>IFERROR((Campaigns!R9-Campaigns!N9)/Campaigns!N9,"")</f>
        <v/>
      </c>
      <c r="K21" s="15" t="inlineStr">
        <is>
          <t>Open Campaigns tab</t>
        </is>
      </c>
    </row>
    <row r="22" ht="38" customHeight="1">
      <c r="B22" s="16" t="inlineStr">
        <is>
          <t>Campaign</t>
        </is>
      </c>
      <c r="C22" s="17" t="inlineStr">
        <is>
          <t>CMP-2026-ENERGY-04</t>
        </is>
      </c>
      <c r="D22" s="18" t="inlineStr">
        <is>
          <t>Solar Open House: The Installation You Can Inspect</t>
        </is>
      </c>
      <c r="E22" s="18" t="inlineStr">
        <is>
          <t>G3 Creative Selected</t>
        </is>
      </c>
      <c r="F22" s="17" t="inlineStr">
        <is>
          <t>In Review</t>
        </is>
      </c>
      <c r="G22" s="18" t="inlineStr">
        <is>
          <t>Client route selection / detailed feasibility</t>
        </is>
      </c>
      <c r="H22" s="18" t="inlineStr">
        <is>
          <t>ZYNTH Strategy Lead</t>
        </is>
      </c>
      <c r="I22" s="19" t="n">
        <v>55800000</v>
      </c>
      <c r="J22" s="20">
        <f>IFERROR((Campaigns!R10-Campaigns!N10)/Campaigns!N10,"")</f>
        <v/>
      </c>
      <c r="K22" s="21" t="inlineStr">
        <is>
          <t>Open Campaigns tab</t>
        </is>
      </c>
    </row>
    <row r="23" ht="38" customHeight="1">
      <c r="B23" s="10" t="inlineStr">
        <is>
          <t>Campaign</t>
        </is>
      </c>
      <c r="C23" s="11" t="inlineStr">
        <is>
          <t>CMP-2026-ENERGY-05</t>
        </is>
      </c>
      <c r="D23" s="12" t="inlineStr">
        <is>
          <t>Energy Champions Academy</t>
        </is>
      </c>
      <c r="E23" s="12" t="inlineStr">
        <is>
          <t>G3 Creative Selected</t>
        </is>
      </c>
      <c r="F23" s="11" t="inlineStr">
        <is>
          <t>In Review</t>
        </is>
      </c>
      <c r="G23" s="12" t="inlineStr">
        <is>
          <t>Client route selection / detailed feasibility</t>
        </is>
      </c>
      <c r="H23" s="12" t="inlineStr">
        <is>
          <t>ZYNTH Strategy Lead</t>
        </is>
      </c>
      <c r="I23" s="13" t="n">
        <v>42700000</v>
      </c>
      <c r="J23" s="14">
        <f>IFERROR((Campaigns!R11-Campaigns!N11)/Campaigns!N11,"")</f>
        <v/>
      </c>
      <c r="K23" s="15" t="inlineStr">
        <is>
          <t>Open Campaigns tab</t>
        </is>
      </c>
    </row>
    <row r="24" ht="38" customHeight="1">
      <c r="B24" s="16" t="inlineStr">
        <is>
          <t>Campaign</t>
        </is>
      </c>
      <c r="C24" s="17" t="inlineStr">
        <is>
          <t>CMP-2026-ENERGY-06</t>
        </is>
      </c>
      <c r="D24" s="18" t="inlineStr">
        <is>
          <t>Charge the Route</t>
        </is>
      </c>
      <c r="E24" s="18" t="inlineStr">
        <is>
          <t>G3 Creative Selected</t>
        </is>
      </c>
      <c r="F24" s="17" t="inlineStr">
        <is>
          <t>In Review</t>
        </is>
      </c>
      <c r="G24" s="18" t="inlineStr">
        <is>
          <t>Client route selection / detailed feasibility</t>
        </is>
      </c>
      <c r="H24" s="18" t="inlineStr">
        <is>
          <t>ZYNTH Strategy Lead</t>
        </is>
      </c>
      <c r="I24" s="19" t="n">
        <v>61500000</v>
      </c>
      <c r="J24" s="20">
        <f>IFERROR((Campaigns!R12-Campaigns!N12)/Campaigns!N12,"")</f>
        <v/>
      </c>
      <c r="K24" s="21" t="inlineStr">
        <is>
          <t>Open Campaigns tab</t>
        </is>
      </c>
    </row>
    <row r="25" ht="38" customHeight="1">
      <c r="B25" s="10" t="inlineStr">
        <is>
          <t>Campaign</t>
        </is>
      </c>
      <c r="C25" s="11" t="inlineStr">
        <is>
          <t>CMP-2026-ENERGY-07</t>
        </is>
      </c>
      <c r="D25" s="12" t="inlineStr">
        <is>
          <t>Light for What Matters</t>
        </is>
      </c>
      <c r="E25" s="12" t="inlineStr">
        <is>
          <t>G3 Creative Selected</t>
        </is>
      </c>
      <c r="F25" s="11" t="inlineStr">
        <is>
          <t>In Review</t>
        </is>
      </c>
      <c r="G25" s="12" t="inlineStr">
        <is>
          <t>Client route selection / detailed feasibility</t>
        </is>
      </c>
      <c r="H25" s="12" t="inlineStr">
        <is>
          <t>ZYNTH Strategy Lead</t>
        </is>
      </c>
      <c r="I25" s="13" t="n">
        <v>36600000</v>
      </c>
      <c r="J25" s="14">
        <f>IFERROR((Campaigns!R13-Campaigns!N13)/Campaigns!N13,"")</f>
        <v/>
      </c>
      <c r="K25" s="15" t="inlineStr">
        <is>
          <t>Open Campaigns tab</t>
        </is>
      </c>
    </row>
    <row r="26" ht="38" customHeight="1">
      <c r="B26" s="16" t="inlineStr">
        <is>
          <t>Campaign</t>
        </is>
      </c>
      <c r="C26" s="17" t="inlineStr">
        <is>
          <t>CMP-2026-ENERGY-08</t>
        </is>
      </c>
      <c r="D26" s="18" t="inlineStr">
        <is>
          <t>My Load, My Plan</t>
        </is>
      </c>
      <c r="E26" s="18" t="inlineStr">
        <is>
          <t>G3 Creative Selected</t>
        </is>
      </c>
      <c r="F26" s="17" t="inlineStr">
        <is>
          <t>In Review</t>
        </is>
      </c>
      <c r="G26" s="18" t="inlineStr">
        <is>
          <t>Client route selection / detailed feasibility</t>
        </is>
      </c>
      <c r="H26" s="18" t="inlineStr">
        <is>
          <t>ZYNTH Strategy Lead</t>
        </is>
      </c>
      <c r="I26" s="19" t="n">
        <v>28900000</v>
      </c>
      <c r="J26" s="20">
        <f>IFERROR((Campaigns!R14-Campaigns!N14)/Campaigns!N14,"")</f>
        <v/>
      </c>
      <c r="K26" s="21" t="inlineStr">
        <is>
          <t>Open Campaigns tab</t>
        </is>
      </c>
    </row>
    <row r="27" ht="38" customHeight="1">
      <c r="B27" s="10" t="inlineStr">
        <is>
          <t>Campaign</t>
        </is>
      </c>
      <c r="C27" s="11" t="inlineStr">
        <is>
          <t>CMP-2026-ENERGY-09</t>
        </is>
      </c>
      <c r="D27" s="12" t="inlineStr">
        <is>
          <t>The 100-Hour Question</t>
        </is>
      </c>
      <c r="E27" s="12" t="inlineStr">
        <is>
          <t>G3 Creative Selected</t>
        </is>
      </c>
      <c r="F27" s="11" t="inlineStr">
        <is>
          <t>In Review</t>
        </is>
      </c>
      <c r="G27" s="12" t="inlineStr">
        <is>
          <t>Client route selection / detailed feasibility</t>
        </is>
      </c>
      <c r="H27" s="12" t="inlineStr">
        <is>
          <t>ZYNTH Strategy Lead</t>
        </is>
      </c>
      <c r="I27" s="13" t="n">
        <v>34200000</v>
      </c>
      <c r="J27" s="14">
        <f>IFERROR((Campaigns!R15-Campaigns!N15)/Campaigns!N15,"")</f>
        <v/>
      </c>
      <c r="K27" s="15" t="inlineStr">
        <is>
          <t>Open Campaigns tab</t>
        </is>
      </c>
    </row>
    <row r="28" ht="38" customHeight="1">
      <c r="B28" s="16" t="inlineStr">
        <is>
          <t>Campaign</t>
        </is>
      </c>
      <c r="C28" s="17" t="inlineStr">
        <is>
          <t>CMP-2026-ENERGY-10</t>
        </is>
      </c>
      <c r="D28" s="18" t="inlineStr">
        <is>
          <t>Renewal Window</t>
        </is>
      </c>
      <c r="E28" s="18" t="inlineStr">
        <is>
          <t>G3 Creative Selected</t>
        </is>
      </c>
      <c r="F28" s="17" t="inlineStr">
        <is>
          <t>In Review</t>
        </is>
      </c>
      <c r="G28" s="18" t="inlineStr">
        <is>
          <t>Client route selection / detailed feasibility</t>
        </is>
      </c>
      <c r="H28" s="18" t="inlineStr">
        <is>
          <t>ZYNTH Strategy Lead</t>
        </is>
      </c>
      <c r="I28" s="19" t="n">
        <v>25600000</v>
      </c>
      <c r="J28" s="20">
        <f>IFERROR((Campaigns!R16-Campaigns!N16)/Campaigns!N16,"")</f>
        <v/>
      </c>
      <c r="K28" s="21" t="inlineStr">
        <is>
          <t>Open Campaigns tab</t>
        </is>
      </c>
    </row>
    <row r="32">
      <c r="B32" t="inlineStr">
        <is>
          <t>Track</t>
        </is>
      </c>
      <c r="C32" t="inlineStr">
        <is>
          <t>Count</t>
        </is>
      </c>
    </row>
    <row r="33">
      <c r="B33" t="inlineStr">
        <is>
          <t>Campaigns</t>
        </is>
      </c>
      <c r="C33">
        <f>COUNTA(Campaigns!B7:B200)</f>
        <v/>
      </c>
    </row>
    <row r="34">
      <c r="B34" t="inlineStr">
        <is>
          <t>Commercials</t>
        </is>
      </c>
      <c r="C34">
        <f>COUNTA(Commercials!B7:B200)</f>
        <v/>
      </c>
    </row>
  </sheetData>
  <autoFilter ref="B18:K28"/>
  <mergeCells count="22">
    <mergeCell ref="B7:C7"/>
    <mergeCell ref="H10:I10"/>
    <mergeCell ref="B3:L3"/>
    <mergeCell ref="E14:F14"/>
    <mergeCell ref="H12:I13"/>
    <mergeCell ref="B11:C11"/>
    <mergeCell ref="E10:F10"/>
    <mergeCell ref="B2:L2"/>
    <mergeCell ref="B14:C14"/>
    <mergeCell ref="H8:I9"/>
    <mergeCell ref="B17:L17"/>
    <mergeCell ref="H11:I11"/>
    <mergeCell ref="E12:F13"/>
    <mergeCell ref="H7:I7"/>
    <mergeCell ref="B10:C10"/>
    <mergeCell ref="E11:F11"/>
    <mergeCell ref="E8:F9"/>
    <mergeCell ref="B12:C13"/>
    <mergeCell ref="B8:C9"/>
    <mergeCell ref="E7:F7"/>
    <mergeCell ref="B5:L5"/>
    <mergeCell ref="H14:I14"/>
  </mergeCells>
  <pageMargins left="0.75" right="0.75" top="1" bottom="1" header="0.5" footer="0.5"/>
  <headerFooter>
    <oddHeader/>
    <oddFooter>&amp;C&amp;8 ZYNTH Master Tracker | Zero-cost-first | Generated 2026-08-21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A5F5F"/>
    <outlinePr summaryBelow="1" summaryRight="1"/>
    <pageSetUpPr/>
  </sheetPr>
  <dimension ref="B2:W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30" customWidth="1" min="4" max="4"/>
    <col width="32" customWidth="1" min="5" max="5"/>
    <col width="42" customWidth="1" min="6" max="6"/>
    <col width="36" customWidth="1" min="7" max="7"/>
    <col width="33" customWidth="1" min="8" max="8"/>
    <col width="24" customWidth="1" min="9" max="9"/>
    <col width="22" customWidth="1" min="10" max="10"/>
    <col width="18" customWidth="1" min="11" max="11"/>
    <col width="20" customWidth="1" min="12" max="12"/>
    <col width="34" customWidth="1" min="13" max="13"/>
    <col width="19" customWidth="1" min="14" max="14"/>
    <col width="18" customWidth="1" min="15" max="15"/>
    <col width="16" customWidth="1" min="16" max="16"/>
    <col width="21" customWidth="1" min="17" max="17"/>
    <col width="22" customWidth="1" min="18" max="18"/>
    <col width="14" customWidth="1" min="19" max="19"/>
    <col width="15" customWidth="1" min="20" max="20"/>
    <col width="19" customWidth="1" min="21" max="21"/>
    <col width="24" customWidth="1" min="22" max="22"/>
    <col width="18" customWidth="1" min="23" max="23"/>
  </cols>
  <sheetData>
    <row r="2" ht="30" customHeight="1">
      <c r="B2" s="1" t="inlineStr">
        <is>
          <t>Campaign Portfolio — Campaign / Event / Activation Track</t>
        </is>
      </c>
    </row>
    <row r="3" ht="26" customHeight="1">
      <c r="B3" s="2" t="inlineStr">
        <is>
          <t>One row = one campaign concept. Update this same ID across every proposal cycle. Planning values are assumptions, not quotations or guarantees.</t>
        </is>
      </c>
    </row>
    <row r="5" ht="23" customHeight="1">
      <c r="B5" s="3" t="inlineStr">
        <is>
          <t>CAMPAIGN MASTER RECORDS</t>
        </is>
      </c>
    </row>
    <row r="6" ht="36" customHeight="1">
      <c r="B6" s="9" t="inlineStr">
        <is>
          <t>Record ID</t>
        </is>
      </c>
      <c r="C6" s="9" t="inlineStr">
        <is>
          <t>Campaign Title (EN)</t>
        </is>
      </c>
      <c r="D6" s="9" t="inlineStr">
        <is>
          <t>Campaign Title (MY)</t>
        </is>
      </c>
      <c r="E6" s="9" t="inlineStr">
        <is>
          <t>Format</t>
        </is>
      </c>
      <c r="F6" s="9" t="inlineStr">
        <is>
          <t>Commercial Tension</t>
        </is>
      </c>
      <c r="G6" s="9" t="inlineStr">
        <is>
          <t>Audience / Behaviour Change</t>
        </is>
      </c>
      <c r="H6" s="9" t="inlineStr">
        <is>
          <t>Conversion Mechanic</t>
        </is>
      </c>
      <c r="I6" s="9" t="inlineStr">
        <is>
          <t>Creative Territory</t>
        </is>
      </c>
      <c r="J6" s="9" t="inlineStr">
        <is>
          <t>Current Stage</t>
        </is>
      </c>
      <c r="K6" s="9" t="inlineStr">
        <is>
          <t>Status</t>
        </is>
      </c>
      <c r="L6" s="9" t="inlineStr">
        <is>
          <t>Owner</t>
        </is>
      </c>
      <c r="M6" s="9" t="inlineStr">
        <is>
          <t>Next Gate</t>
        </is>
      </c>
      <c r="N6" s="9" t="inlineStr">
        <is>
          <t>Recommended Budget (MMK)</t>
        </is>
      </c>
      <c r="O6" s="9" t="inlineStr">
        <is>
          <t>Base Qualified Leads</t>
        </is>
      </c>
      <c r="P6" s="9" t="inlineStr">
        <is>
          <t>Base Close Rate</t>
        </is>
      </c>
      <c r="Q6" s="9" t="inlineStr">
        <is>
          <t>Contribution / Close (MMK)</t>
        </is>
      </c>
      <c r="R6" s="9" t="inlineStr">
        <is>
          <t>Base Contribution (MMK)</t>
        </is>
      </c>
      <c r="S6" s="9" t="inlineStr">
        <is>
          <t>Base ROI</t>
        </is>
      </c>
      <c r="T6" s="9" t="inlineStr">
        <is>
          <t>Current Version</t>
        </is>
      </c>
      <c r="U6" s="9" t="inlineStr">
        <is>
          <t>Research Confidence</t>
        </is>
      </c>
      <c r="V6" s="9" t="inlineStr">
        <is>
          <t>Latest Artifact / Folder</t>
        </is>
      </c>
      <c r="W6" s="9" t="inlineStr">
        <is>
          <t>Last Updated</t>
        </is>
      </c>
    </row>
    <row r="7" ht="54" customHeight="1">
      <c r="B7" s="10" t="inlineStr">
        <is>
          <t>CMP-2026-ENERGY-01</t>
        </is>
      </c>
      <c r="C7" s="12" t="inlineStr">
        <is>
          <t>The Continuity Clinic</t>
        </is>
      </c>
      <c r="D7" s="12" t="inlineStr">
        <is>
          <t>မရပ်မနား လည်ပတ်နိုင်ရေး ကလင်နစ်</t>
        </is>
      </c>
      <c r="E7" s="12" t="inlineStr">
        <is>
          <t>Executive diagnostic pop-up and appointment-led proof lab</t>
        </is>
      </c>
      <c r="F7" s="12" t="inlineStr">
        <is>
          <t>Operations leaders cannot quickly translate power interruptions into a decision-ready resilience brief.</t>
        </is>
      </c>
      <c r="G7" s="12" t="inlineStr">
        <is>
          <t>Move from passive interest to a booked, client-authorised load and continuity assessment.</t>
        </is>
      </c>
      <c r="H7" s="12" t="inlineStr">
        <is>
          <t>A 12-minute 'critical-load card' produces a named assessment booking and consented follow-up.</t>
        </is>
      </c>
      <c r="I7" s="12" t="inlineStr">
        <is>
          <t>Every Watt Has a Job</t>
        </is>
      </c>
      <c r="J7" s="11" t="inlineStr">
        <is>
          <t>G3 Creative Selected</t>
        </is>
      </c>
      <c r="K7" s="11" t="inlineStr">
        <is>
          <t>In Review</t>
        </is>
      </c>
      <c r="L7" s="12" t="inlineStr">
        <is>
          <t>ZYNTH Strategy Lead</t>
        </is>
      </c>
      <c r="M7" s="11" t="inlineStr">
        <is>
          <t>Client route selection / detailed feasibility</t>
        </is>
      </c>
      <c r="N7" s="13" t="n">
        <v>39600000</v>
      </c>
      <c r="O7" s="11" t="n">
        <v>18</v>
      </c>
      <c r="P7" s="14" t="n">
        <v>0.22</v>
      </c>
      <c r="Q7" s="13" t="n">
        <v>9000000</v>
      </c>
      <c r="R7" s="13">
        <f>N7*O7*P7</f>
        <v/>
      </c>
      <c r="S7" s="14">
        <f>IFERROR((Q7-N7)/N7,"")</f>
        <v/>
      </c>
      <c r="T7" s="11" t="n">
        <v>1</v>
      </c>
      <c r="U7" s="11" t="inlineStr">
        <is>
          <t>Medium</t>
        </is>
      </c>
      <c r="V7" s="12" t="inlineStr">
        <is>
          <t>Open batch</t>
        </is>
      </c>
      <c r="W7" s="15" t="inlineStr">
        <is>
          <t>2026-08-21 UTC</t>
        </is>
      </c>
    </row>
    <row r="8" ht="54" customHeight="1">
      <c r="B8" s="16" t="inlineStr">
        <is>
          <t>CMP-2026-ENERGY-02</t>
        </is>
      </c>
      <c r="C8" s="18" t="inlineStr">
        <is>
          <t>Power Proof Roadshow</t>
        </is>
      </c>
      <c r="D8" s="18" t="inlineStr">
        <is>
          <t>မီးအားအဖြေကို လက်တွေ့ပြသတဲ့ Roadshow</t>
        </is>
      </c>
      <c r="E8" s="18" t="inlineStr">
        <is>
          <t>C&amp;I mobile demonstration roadshow</t>
        </is>
      </c>
      <c r="F8" s="18" t="inlineStr">
        <is>
          <t>Commercial buyers see technical options but lack a comparable route from current energy use to a scoped solution.</t>
        </is>
      </c>
      <c r="G8" s="18" t="inlineStr">
        <is>
          <t>Move from brochure collection to a client-approved site-survey request.</t>
        </is>
      </c>
      <c r="H8" s="18" t="inlineStr">
        <is>
          <t>A 'bill-to-blueprint' station turns a volunteered consumption range into a survey request, subject to consent and engineering validation.</t>
        </is>
      </c>
      <c r="I8" s="18" t="inlineStr">
        <is>
          <t>See the System, See the Decision</t>
        </is>
      </c>
      <c r="J8" s="17" t="inlineStr">
        <is>
          <t>G3 Creative Selected</t>
        </is>
      </c>
      <c r="K8" s="17" t="inlineStr">
        <is>
          <t>In Review</t>
        </is>
      </c>
      <c r="L8" s="18" t="inlineStr">
        <is>
          <t>ZYNTH Strategy Lead</t>
        </is>
      </c>
      <c r="M8" s="17" t="inlineStr">
        <is>
          <t>Client route selection / detailed feasibility</t>
        </is>
      </c>
      <c r="N8" s="19" t="n">
        <v>68400000</v>
      </c>
      <c r="O8" s="17" t="n">
        <v>32</v>
      </c>
      <c r="P8" s="20" t="n">
        <v>0.18</v>
      </c>
      <c r="Q8" s="19" t="n">
        <v>12000000</v>
      </c>
      <c r="R8" s="19">
        <f>N8*O8*P8</f>
        <v/>
      </c>
      <c r="S8" s="20">
        <f>IFERROR((Q8-N8)/N8,"")</f>
        <v/>
      </c>
      <c r="T8" s="17" t="n">
        <v>1</v>
      </c>
      <c r="U8" s="17" t="inlineStr">
        <is>
          <t>Medium</t>
        </is>
      </c>
      <c r="V8" s="18" t="inlineStr">
        <is>
          <t>Open batch</t>
        </is>
      </c>
      <c r="W8" s="21" t="inlineStr">
        <is>
          <t>2026-08-21 UTC</t>
        </is>
      </c>
    </row>
    <row r="9" ht="54" customHeight="1">
      <c r="B9" s="10" t="inlineStr">
        <is>
          <t>CMP-2026-ENERGY-03</t>
        </is>
      </c>
      <c r="C9" s="12" t="inlineStr">
        <is>
          <t>Night Shift, No Pause</t>
        </is>
      </c>
      <c r="D9" s="12" t="inlineStr">
        <is>
          <t>ညပိုင်းအလုပ် မရပ်တန့်စေရ</t>
        </is>
      </c>
      <c r="E9" s="12" t="inlineStr">
        <is>
          <t>Micro-business product launch and after-dark retail activation</t>
        </is>
      </c>
      <c r="F9" s="12" t="inlineStr">
        <is>
          <t>Small operators fear a solution will be complicated, expensive or disruptive to install.</t>
        </is>
      </c>
      <c r="G9" s="12" t="inlineStr">
        <is>
          <t>Move from uncertainty to a verified product-demo appointment and affordability conversation.</t>
        </is>
      </c>
      <c r="H9" s="12" t="inlineStr">
        <is>
          <t>A four-task night-shift demo unlocks a QR appointment slot; no saving, output or availability claim is made at the activation.</t>
        </is>
      </c>
      <c r="I9" s="12" t="inlineStr">
        <is>
          <t>Keep the Small Things Moving</t>
        </is>
      </c>
      <c r="J9" s="11" t="inlineStr">
        <is>
          <t>G3 Creative Selected</t>
        </is>
      </c>
      <c r="K9" s="11" t="inlineStr">
        <is>
          <t>In Review</t>
        </is>
      </c>
      <c r="L9" s="12" t="inlineStr">
        <is>
          <t>ZYNTH Strategy Lead</t>
        </is>
      </c>
      <c r="M9" s="11" t="inlineStr">
        <is>
          <t>Client route selection / detailed feasibility</t>
        </is>
      </c>
      <c r="N9" s="13" t="n">
        <v>46900000</v>
      </c>
      <c r="O9" s="11" t="n">
        <v>42</v>
      </c>
      <c r="P9" s="14" t="n">
        <v>0.14</v>
      </c>
      <c r="Q9" s="13" t="n">
        <v>6500000</v>
      </c>
      <c r="R9" s="13">
        <f>N9*O9*P9</f>
        <v/>
      </c>
      <c r="S9" s="14">
        <f>IFERROR((Q9-N9)/N9,"")</f>
        <v/>
      </c>
      <c r="T9" s="11" t="n">
        <v>1</v>
      </c>
      <c r="U9" s="11" t="inlineStr">
        <is>
          <t>Medium</t>
        </is>
      </c>
      <c r="V9" s="12" t="inlineStr">
        <is>
          <t>Open batch</t>
        </is>
      </c>
      <c r="W9" s="15" t="inlineStr">
        <is>
          <t>2026-08-21 UTC</t>
        </is>
      </c>
    </row>
    <row r="10" ht="54" customHeight="1">
      <c r="B10" s="16" t="inlineStr">
        <is>
          <t>CMP-2026-ENERGY-04</t>
        </is>
      </c>
      <c r="C10" s="18" t="inlineStr">
        <is>
          <t>Solar Open House: The Installation You Can Inspect</t>
        </is>
      </c>
      <c r="D10" s="18" t="inlineStr">
        <is>
          <t>ကိုယ်တိုင်ကြည့်ရှုစစ်ဆေးနိုင်တဲ့ Solar Open House</t>
        </is>
      </c>
      <c r="E10" s="18" t="inlineStr">
        <is>
          <t>Invitation-only executive site walk and press-preview format</t>
        </is>
      </c>
      <c r="F10" s="18" t="inlineStr">
        <is>
          <t>Decision-makers want proof of installation quality and after-sales thinking, not only product claims.</t>
        </is>
      </c>
      <c r="G10" s="18" t="inlineStr">
        <is>
          <t>Move from generic interest to a governed tender or engineering-scoping conversation.</t>
        </is>
      </c>
      <c r="H10" s="18" t="inlineStr">
        <is>
          <t>A signed visitor checklist and a 'questions for your site' card prompt a follow-up technical briefing.</t>
        </is>
      </c>
      <c r="I10" s="18" t="inlineStr">
        <is>
          <t>Nothing Hidden in the Light</t>
        </is>
      </c>
      <c r="J10" s="17" t="inlineStr">
        <is>
          <t>G3 Creative Selected</t>
        </is>
      </c>
      <c r="K10" s="17" t="inlineStr">
        <is>
          <t>In Review</t>
        </is>
      </c>
      <c r="L10" s="18" t="inlineStr">
        <is>
          <t>ZYNTH Strategy Lead</t>
        </is>
      </c>
      <c r="M10" s="17" t="inlineStr">
        <is>
          <t>Client route selection / detailed feasibility</t>
        </is>
      </c>
      <c r="N10" s="19" t="n">
        <v>55800000</v>
      </c>
      <c r="O10" s="17" t="n">
        <v>16</v>
      </c>
      <c r="P10" s="20" t="n">
        <v>0.25</v>
      </c>
      <c r="Q10" s="19" t="n">
        <v>14000000</v>
      </c>
      <c r="R10" s="19">
        <f>N10*O10*P10</f>
        <v/>
      </c>
      <c r="S10" s="20">
        <f>IFERROR((Q10-N10)/N10,"")</f>
        <v/>
      </c>
      <c r="T10" s="17" t="n">
        <v>1</v>
      </c>
      <c r="U10" s="17" t="inlineStr">
        <is>
          <t>Medium</t>
        </is>
      </c>
      <c r="V10" s="18" t="inlineStr">
        <is>
          <t>Open batch</t>
        </is>
      </c>
      <c r="W10" s="21" t="inlineStr">
        <is>
          <t>2026-08-21 UTC</t>
        </is>
      </c>
    </row>
    <row r="11" ht="54" customHeight="1">
      <c r="B11" s="10" t="inlineStr">
        <is>
          <t>CMP-2026-ENERGY-05</t>
        </is>
      </c>
      <c r="C11" s="12" t="inlineStr">
        <is>
          <t>Energy Champions Academy</t>
        </is>
      </c>
      <c r="D11" s="12" t="inlineStr">
        <is>
          <t>Energy Champions Installer Academy</t>
        </is>
      </c>
      <c r="E11" s="12" t="inlineStr">
        <is>
          <t>Installer masterclass and service-readiness programme</t>
        </is>
      </c>
      <c r="F11" s="12" t="inlineStr">
        <is>
          <t>A growing category requires buyers to understand the quality of handover and service, while practitioners need a consistent customer-explanation standard.</t>
        </is>
      </c>
      <c r="G11" s="12" t="inlineStr">
        <is>
          <t>Move from ad-hoc selling to a client-approved learning pathway and consented lead-routing standard.</t>
        </is>
      </c>
      <c r="H11" s="12" t="inlineStr">
        <is>
          <t>A practical knowledge check and service-script rehearsal qualify attendees for a next-step accreditation conversation, not a public credential claim.</t>
        </is>
      </c>
      <c r="I11" s="12" t="inlineStr">
        <is>
          <t>Knowledge Keeps the Promise</t>
        </is>
      </c>
      <c r="J11" s="11" t="inlineStr">
        <is>
          <t>G3 Creative Selected</t>
        </is>
      </c>
      <c r="K11" s="11" t="inlineStr">
        <is>
          <t>In Review</t>
        </is>
      </c>
      <c r="L11" s="12" t="inlineStr">
        <is>
          <t>ZYNTH Strategy Lead</t>
        </is>
      </c>
      <c r="M11" s="11" t="inlineStr">
        <is>
          <t>Client route selection / detailed feasibility</t>
        </is>
      </c>
      <c r="N11" s="13" t="n">
        <v>42700000</v>
      </c>
      <c r="O11" s="11" t="n">
        <v>28</v>
      </c>
      <c r="P11" s="14" t="n">
        <v>0.17</v>
      </c>
      <c r="Q11" s="13" t="n">
        <v>8000000</v>
      </c>
      <c r="R11" s="13">
        <f>N11*O11*P11</f>
        <v/>
      </c>
      <c r="S11" s="14">
        <f>IFERROR((Q11-N11)/N11,"")</f>
        <v/>
      </c>
      <c r="T11" s="11" t="n">
        <v>1</v>
      </c>
      <c r="U11" s="11" t="inlineStr">
        <is>
          <t>Medium</t>
        </is>
      </c>
      <c r="V11" s="12" t="inlineStr">
        <is>
          <t>Open batch</t>
        </is>
      </c>
      <c r="W11" s="15" t="inlineStr">
        <is>
          <t>2026-08-21 UTC</t>
        </is>
      </c>
    </row>
    <row r="12" ht="54" customHeight="1">
      <c r="B12" s="16" t="inlineStr">
        <is>
          <t>CMP-2026-ENERGY-06</t>
        </is>
      </c>
      <c r="C12" s="18" t="inlineStr">
        <is>
          <t>Charge the Route</t>
        </is>
      </c>
      <c r="D12" s="18" t="inlineStr">
        <is>
          <t>လမ်းကြောင်းတိုင်းကို အားဖြည့်မည့် Charge the Route</t>
        </is>
      </c>
      <c r="E12" s="18" t="inlineStr">
        <is>
          <t>Fleet/dealer event with energy-and-mobility demonstration</t>
        </is>
      </c>
      <c r="F12" s="18" t="inlineStr">
        <is>
          <t>Fleet and dealer leaders may treat electrification and energy resilience as separate decisions.</t>
        </is>
      </c>
      <c r="G12" s="18" t="inlineStr">
        <is>
          <t>Move from generic EV curiosity to a booked fleet-readiness workshop.</t>
        </is>
      </c>
      <c r="H12" s="18" t="inlineStr">
        <is>
          <t>A route-board session captures operational variables and books a client-reviewed feasibility conversation.</t>
        </is>
      </c>
      <c r="I12" s="18" t="inlineStr">
        <is>
          <t>Energy Moves With You</t>
        </is>
      </c>
      <c r="J12" s="17" t="inlineStr">
        <is>
          <t>G3 Creative Selected</t>
        </is>
      </c>
      <c r="K12" s="17" t="inlineStr">
        <is>
          <t>In Review</t>
        </is>
      </c>
      <c r="L12" s="18" t="inlineStr">
        <is>
          <t>ZYNTH Strategy Lead</t>
        </is>
      </c>
      <c r="M12" s="17" t="inlineStr">
        <is>
          <t>Client route selection / detailed feasibility</t>
        </is>
      </c>
      <c r="N12" s="19" t="n">
        <v>61500000</v>
      </c>
      <c r="O12" s="17" t="n">
        <v>21</v>
      </c>
      <c r="P12" s="20" t="n">
        <v>0.2</v>
      </c>
      <c r="Q12" s="19" t="n">
        <v>15000000</v>
      </c>
      <c r="R12" s="19">
        <f>N12*O12*P12</f>
        <v/>
      </c>
      <c r="S12" s="20">
        <f>IFERROR((Q12-N12)/N12,"")</f>
        <v/>
      </c>
      <c r="T12" s="17" t="n">
        <v>1</v>
      </c>
      <c r="U12" s="17" t="inlineStr">
        <is>
          <t>Medium</t>
        </is>
      </c>
      <c r="V12" s="18" t="inlineStr">
        <is>
          <t>Open batch</t>
        </is>
      </c>
      <c r="W12" s="21" t="inlineStr">
        <is>
          <t>2026-08-21 UTC</t>
        </is>
      </c>
    </row>
    <row r="13" ht="54" customHeight="1">
      <c r="B13" s="10" t="inlineStr">
        <is>
          <t>CMP-2026-ENERGY-07</t>
        </is>
      </c>
      <c r="C13" s="12" t="inlineStr">
        <is>
          <t>Light for What Matters</t>
        </is>
      </c>
      <c r="D13" s="12" t="inlineStr">
        <is>
          <t>အရေးကြီးသည့်အရာများအတွက် အလင်းရောင်</t>
        </is>
      </c>
      <c r="E13" s="12" t="inlineStr">
        <is>
          <t>Community listening programme and proposed/TBC social-impact activation</t>
        </is>
      </c>
      <c r="F13" s="12" t="inlineStr">
        <is>
          <t>Community-energy conversations can become performative if local priorities, safeguards and selection criteria are not visible.</t>
        </is>
      </c>
      <c r="G13" s="12" t="inlineStr">
        <is>
          <t>Move from passive awareness to consented participation in an evidence-led community needs conversation.</t>
        </is>
      </c>
      <c r="H13" s="12" t="inlineStr">
        <is>
          <t>A facilitated needs wall and opt-in feedback card generate a transparent, non-binding shortlisting brief.</t>
        </is>
      </c>
      <c r="I13" s="12" t="inlineStr">
        <is>
          <t>Listen Before You Light</t>
        </is>
      </c>
      <c r="J13" s="11" t="inlineStr">
        <is>
          <t>G3 Creative Selected</t>
        </is>
      </c>
      <c r="K13" s="11" t="inlineStr">
        <is>
          <t>In Review</t>
        </is>
      </c>
      <c r="L13" s="12" t="inlineStr">
        <is>
          <t>ZYNTH Strategy Lead</t>
        </is>
      </c>
      <c r="M13" s="11" t="inlineStr">
        <is>
          <t>Client route selection / detailed feasibility</t>
        </is>
      </c>
      <c r="N13" s="13" t="n">
        <v>36600000</v>
      </c>
      <c r="O13" s="11" t="n">
        <v>12</v>
      </c>
      <c r="P13" s="14" t="n">
        <v>0.12</v>
      </c>
      <c r="Q13" s="13" t="n">
        <v>10000000</v>
      </c>
      <c r="R13" s="13">
        <f>N13*O13*P13</f>
        <v/>
      </c>
      <c r="S13" s="14">
        <f>IFERROR((Q13-N13)/N13,"")</f>
        <v/>
      </c>
      <c r="T13" s="11" t="n">
        <v>1</v>
      </c>
      <c r="U13" s="11" t="inlineStr">
        <is>
          <t>Medium</t>
        </is>
      </c>
      <c r="V13" s="12" t="inlineStr">
        <is>
          <t>Open batch</t>
        </is>
      </c>
      <c r="W13" s="15" t="inlineStr">
        <is>
          <t>2026-08-21 UTC</t>
        </is>
      </c>
    </row>
    <row r="14" ht="54" customHeight="1">
      <c r="B14" s="16" t="inlineStr">
        <is>
          <t>CMP-2026-ENERGY-08</t>
        </is>
      </c>
      <c r="C14" s="18" t="inlineStr">
        <is>
          <t>My Load, My Plan</t>
        </is>
      </c>
      <c r="D14" s="18" t="inlineStr">
        <is>
          <t>ကျွန်တော့် Load၊ ကျွန်တော့် Plan</t>
        </is>
      </c>
      <c r="E14" s="18" t="inlineStr">
        <is>
          <t>Paid digital funnel and interactive decision UI</t>
        </is>
      </c>
      <c r="F14" s="18" t="inlineStr">
        <is>
          <t>Prospects can research equipment but struggle to know what information is needed before a meaningful conversation.</t>
        </is>
      </c>
      <c r="G14" s="18" t="inlineStr">
        <is>
          <t>Move from unqualified clicks to a consented, information-ready assessment booking.</t>
        </is>
      </c>
      <c r="H14" s="18" t="inlineStr">
        <is>
          <t>A five-step calculator captures the user's priority, not an installation promise, then routes to a reviewed booking flow.</t>
        </is>
      </c>
      <c r="I14" s="18" t="inlineStr">
        <is>
          <t>Start With Your Day</t>
        </is>
      </c>
      <c r="J14" s="17" t="inlineStr">
        <is>
          <t>G3 Creative Selected</t>
        </is>
      </c>
      <c r="K14" s="17" t="inlineStr">
        <is>
          <t>In Review</t>
        </is>
      </c>
      <c r="L14" s="18" t="inlineStr">
        <is>
          <t>ZYNTH Strategy Lead</t>
        </is>
      </c>
      <c r="M14" s="17" t="inlineStr">
        <is>
          <t>Client route selection / detailed feasibility</t>
        </is>
      </c>
      <c r="N14" s="19" t="n">
        <v>28900000</v>
      </c>
      <c r="O14" s="17" t="n">
        <v>55</v>
      </c>
      <c r="P14" s="20" t="n">
        <v>0.12</v>
      </c>
      <c r="Q14" s="19" t="n">
        <v>7000000</v>
      </c>
      <c r="R14" s="19">
        <f>N14*O14*P14</f>
        <v/>
      </c>
      <c r="S14" s="20">
        <f>IFERROR((Q14-N14)/N14,"")</f>
        <v/>
      </c>
      <c r="T14" s="17" t="n">
        <v>1</v>
      </c>
      <c r="U14" s="17" t="inlineStr">
        <is>
          <t>Medium</t>
        </is>
      </c>
      <c r="V14" s="18" t="inlineStr">
        <is>
          <t>Open batch</t>
        </is>
      </c>
      <c r="W14" s="21" t="inlineStr">
        <is>
          <t>2026-08-21 UTC</t>
        </is>
      </c>
    </row>
    <row r="15" ht="54" customHeight="1">
      <c r="B15" s="10" t="inlineStr">
        <is>
          <t>CMP-2026-ENERGY-09</t>
        </is>
      </c>
      <c r="C15" s="12" t="inlineStr">
        <is>
          <t>The 100-Hour Question</t>
        </is>
      </c>
      <c r="D15" s="12" t="inlineStr">
        <is>
          <t>နာရီ ၁၀၀ ရဲ့ မေးခွန်း</t>
        </is>
      </c>
      <c r="E15" s="12" t="inlineStr">
        <is>
          <t>Proof-led content series and monitored social challenge</t>
        </is>
      </c>
      <c r="F15" s="12" t="inlineStr">
        <is>
          <t>Performance claims can blur together when buyers cannot see how a solution is evaluated in normal working conditions.</t>
        </is>
      </c>
      <c r="G15" s="12" t="inlineStr">
        <is>
          <t>Move from passive video viewing to a consented request for a verification-oriented consultation.</t>
        </is>
      </c>
      <c r="H15" s="12" t="inlineStr">
        <is>
          <t>Each episode ends with a question checklist and a voluntary booking prompt, never a public endurance or performance guarantee.</t>
        </is>
      </c>
      <c r="I15" s="12" t="inlineStr">
        <is>
          <t>Ask for the Evidence</t>
        </is>
      </c>
      <c r="J15" s="11" t="inlineStr">
        <is>
          <t>G3 Creative Selected</t>
        </is>
      </c>
      <c r="K15" s="11" t="inlineStr">
        <is>
          <t>In Review</t>
        </is>
      </c>
      <c r="L15" s="12" t="inlineStr">
        <is>
          <t>ZYNTH Strategy Lead</t>
        </is>
      </c>
      <c r="M15" s="11" t="inlineStr">
        <is>
          <t>Client route selection / detailed feasibility</t>
        </is>
      </c>
      <c r="N15" s="13" t="n">
        <v>34200000</v>
      </c>
      <c r="O15" s="11" t="n">
        <v>38</v>
      </c>
      <c r="P15" s="14" t="n">
        <v>0.15</v>
      </c>
      <c r="Q15" s="13" t="n">
        <v>8000000</v>
      </c>
      <c r="R15" s="13">
        <f>N15*O15*P15</f>
        <v/>
      </c>
      <c r="S15" s="14">
        <f>IFERROR((Q15-N15)/N15,"")</f>
        <v/>
      </c>
      <c r="T15" s="11" t="n">
        <v>1</v>
      </c>
      <c r="U15" s="11" t="inlineStr">
        <is>
          <t>Medium</t>
        </is>
      </c>
      <c r="V15" s="12" t="inlineStr">
        <is>
          <t>Open batch</t>
        </is>
      </c>
      <c r="W15" s="15" t="inlineStr">
        <is>
          <t>2026-08-21 UTC</t>
        </is>
      </c>
    </row>
    <row r="16" ht="54" customHeight="1">
      <c r="B16" s="16" t="inlineStr">
        <is>
          <t>CMP-2026-ENERGY-10</t>
        </is>
      </c>
      <c r="C16" s="18" t="inlineStr">
        <is>
          <t>Renewal Window</t>
        </is>
      </c>
      <c r="D16" s="18" t="inlineStr">
        <is>
          <t>ပြန်လည်စတင်ဖို့ Renewal Window</t>
        </is>
      </c>
      <c r="E16" s="18" t="inlineStr">
        <is>
          <t>CRM reactivation and account-based decision-sprint programme</t>
        </is>
      </c>
      <c r="F16" s="18" t="inlineStr">
        <is>
          <t>Qualified conversations can stall when a buyer's internal timeline changes, even though the underlying need remains.</t>
        </is>
      </c>
      <c r="G16" s="18" t="inlineStr">
        <is>
          <t>Move from dormant lead status to an explicit close, defer or re-scope decision.</t>
        </is>
      </c>
      <c r="H16" s="18" t="inlineStr">
        <is>
          <t>A three-message 'renewal window' offers a one-click priority choice and a booked decision sprint only to consented contacts.</t>
        </is>
      </c>
      <c r="I16" s="18" t="inlineStr">
        <is>
          <t>The Next Decision Is Still Yours</t>
        </is>
      </c>
      <c r="J16" s="17" t="inlineStr">
        <is>
          <t>G3 Creative Selected</t>
        </is>
      </c>
      <c r="K16" s="17" t="inlineStr">
        <is>
          <t>In Review</t>
        </is>
      </c>
      <c r="L16" s="18" t="inlineStr">
        <is>
          <t>ZYNTH Strategy Lead</t>
        </is>
      </c>
      <c r="M16" s="17" t="inlineStr">
        <is>
          <t>Client route selection / detailed feasibility</t>
        </is>
      </c>
      <c r="N16" s="19" t="n">
        <v>25600000</v>
      </c>
      <c r="O16" s="17" t="n">
        <v>24</v>
      </c>
      <c r="P16" s="20" t="n">
        <v>0.2</v>
      </c>
      <c r="Q16" s="19" t="n">
        <v>10000000</v>
      </c>
      <c r="R16" s="19">
        <f>N16*O16*P16</f>
        <v/>
      </c>
      <c r="S16" s="20">
        <f>IFERROR((Q16-N16)/N16,"")</f>
        <v/>
      </c>
      <c r="T16" s="17" t="n">
        <v>1</v>
      </c>
      <c r="U16" s="17" t="inlineStr">
        <is>
          <t>Medium</t>
        </is>
      </c>
      <c r="V16" s="18" t="inlineStr">
        <is>
          <t>Open batch</t>
        </is>
      </c>
      <c r="W16" s="21" t="inlineStr">
        <is>
          <t>2026-08-21 UTC</t>
        </is>
      </c>
    </row>
  </sheetData>
  <autoFilter ref="B6:W16"/>
  <mergeCells count="3">
    <mergeCell ref="B2:W2"/>
    <mergeCell ref="B3:W3"/>
    <mergeCell ref="B5:W5"/>
  </mergeCells>
  <conditionalFormatting sqref="K7:K500">
    <cfRule type="expression" priority="1" dxfId="0">
      <formula>K7="Needs Human Decision"</formula>
    </cfRule>
    <cfRule type="expression" priority="2" dxfId="1">
      <formula>K7="Approved"</formula>
    </cfRule>
    <cfRule type="expression" priority="3" dxfId="2">
      <formula>K7="Live"</formula>
    </cfRule>
  </conditionalFormatting>
  <conditionalFormatting sqref="S7:S500">
    <cfRule type="colorScale" priority="4">
      <colorScale>
        <cfvo type="min"/>
        <cfvo type="percentile" val="50"/>
        <cfvo type="max"/>
        <color rgb="00FFCCBC"/>
        <color rgb="00FFF9C4"/>
        <color rgb="00E8F5E9"/>
      </colorScale>
    </cfRule>
  </conditionalFormatting>
  <dataValidations count="3">
    <dataValidation sqref="K7:K500" showDropDown="0" showInputMessage="0" showErrorMessage="0" allowBlank="1" errorTitle="Controlled field" error="Please use the approved list value." type="list">
      <formula1>='Learning &amp; Guide'!$R$2:$R$9</formula1>
    </dataValidation>
    <dataValidation sqref="J7:J500" showDropDown="0" showInputMessage="0" showErrorMessage="0" allowBlank="1" errorTitle="Controlled field" error="Please use the approved list value." type="list">
      <formula1>='Learning &amp; Guide'!$S$2:$S$9</formula1>
    </dataValidation>
    <dataValidation sqref="U7:U500" showDropDown="0" showInputMessage="0" showErrorMessage="0" allowBlank="1" errorTitle="Controlled field" error="Please use the approved list value." type="list">
      <formula1>='Learning &amp; Guide'!$T$2:$T$5</formula1>
    </dataValidation>
  </dataValidations>
  <hyperlinks>
    <hyperlink xmlns:r="http://schemas.openxmlformats.org/officeDocument/2006/relationships" ref="V7" r:id="rId1"/>
    <hyperlink xmlns:r="http://schemas.openxmlformats.org/officeDocument/2006/relationships" ref="V8" r:id="rId2"/>
    <hyperlink xmlns:r="http://schemas.openxmlformats.org/officeDocument/2006/relationships" ref="V9" r:id="rId3"/>
    <hyperlink xmlns:r="http://schemas.openxmlformats.org/officeDocument/2006/relationships" ref="V10" r:id="rId4"/>
    <hyperlink xmlns:r="http://schemas.openxmlformats.org/officeDocument/2006/relationships" ref="V11" r:id="rId5"/>
    <hyperlink xmlns:r="http://schemas.openxmlformats.org/officeDocument/2006/relationships" ref="V12" r:id="rId6"/>
    <hyperlink xmlns:r="http://schemas.openxmlformats.org/officeDocument/2006/relationships" ref="V13" r:id="rId7"/>
    <hyperlink xmlns:r="http://schemas.openxmlformats.org/officeDocument/2006/relationships" ref="V14" r:id="rId8"/>
    <hyperlink xmlns:r="http://schemas.openxmlformats.org/officeDocument/2006/relationships" ref="V15" r:id="rId9"/>
    <hyperlink xmlns:r="http://schemas.openxmlformats.org/officeDocument/2006/relationships" ref="V16" r:id="rId10"/>
  </hyperlinks>
  <pageMargins left="0.75" right="0.75" top="1" bottom="1" header="0.5" footer="0.5"/>
  <headerFooter>
    <oddHeader/>
    <oddFooter>&amp;C&amp;8 ZYNTH Master Tracker | Zero-cost-first | Generated 2026-08-21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A235A"/>
    <outlinePr summaryBelow="1" summaryRight="1"/>
    <pageSetUpPr/>
  </sheetPr>
  <dimension ref="B2:Y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34" customWidth="1" min="4" max="4"/>
    <col width="30" customWidth="1" min="5" max="5"/>
    <col width="24" customWidth="1" min="6" max="6"/>
    <col width="36" customWidth="1" min="7" max="7"/>
    <col width="42" customWidth="1" min="8" max="8"/>
    <col width="34" customWidth="1" min="9" max="9"/>
    <col width="30" customWidth="1" min="10" max="10"/>
    <col width="19" customWidth="1" min="11" max="11"/>
    <col width="23" customWidth="1" min="12" max="12"/>
    <col width="18" customWidth="1" min="13" max="13"/>
    <col width="38" customWidth="1" min="14" max="14"/>
    <col width="21" customWidth="1" min="15" max="15"/>
    <col width="21" customWidth="1" min="16" max="16"/>
    <col width="21" customWidth="1" min="17" max="17"/>
    <col width="34" customWidth="1" min="18" max="18"/>
    <col width="14" customWidth="1" min="19" max="19"/>
    <col width="16" customWidth="1" min="20" max="20"/>
    <col width="22" customWidth="1" min="21" max="21"/>
    <col width="14" customWidth="1" min="22" max="22"/>
    <col width="16" customWidth="1" min="23" max="23"/>
    <col width="22" customWidth="1" min="24" max="24"/>
    <col width="18" customWidth="1" min="25" max="25"/>
  </cols>
  <sheetData>
    <row r="2" ht="30" customHeight="1">
      <c r="B2" s="1" t="inlineStr">
        <is>
          <t>Commercial Studio — Standalone Commercial &amp; Storyboard Track</t>
        </is>
      </c>
    </row>
    <row r="3" ht="26" customHeight="1">
      <c r="B3" s="2" t="inlineStr">
        <is>
          <t>One row = one independently numbered commercial concept. Current rows are seed treatments from the Energy batch and must be expanded into detailed storyboards before production.</t>
        </is>
      </c>
    </row>
    <row r="5" ht="23" customHeight="1">
      <c r="B5" s="22" t="inlineStr">
        <is>
          <t>COMMERCIAL / STORYBOARD MASTER RECORDS</t>
        </is>
      </c>
    </row>
    <row r="6" ht="36" customHeight="1">
      <c r="B6" s="9" t="inlineStr">
        <is>
          <t>Record ID</t>
        </is>
      </c>
      <c r="C6" s="9" t="inlineStr">
        <is>
          <t>Parent Campaign ID</t>
        </is>
      </c>
      <c r="D6" s="9" t="inlineStr">
        <is>
          <t>Commercial Title (EN)</t>
        </is>
      </c>
      <c r="E6" s="9" t="inlineStr">
        <is>
          <t>Commercial Title (MY)</t>
        </is>
      </c>
      <c r="F6" s="9" t="inlineStr">
        <is>
          <t>Format</t>
        </is>
      </c>
      <c r="G6" s="9" t="inlineStr">
        <is>
          <t>Single-Minded Proposition</t>
        </is>
      </c>
      <c r="H6" s="9" t="inlineStr">
        <is>
          <t>Logline / Premise</t>
        </is>
      </c>
      <c r="I6" s="9" t="inlineStr">
        <is>
          <t>Visual Style</t>
        </is>
      </c>
      <c r="J6" s="9" t="inlineStr">
        <is>
          <t>Story Location</t>
        </is>
      </c>
      <c r="K6" s="9" t="inlineStr">
        <is>
          <t>Treatment Status</t>
        </is>
      </c>
      <c r="L6" s="9" t="inlineStr">
        <is>
          <t>Storyboard Status</t>
        </is>
      </c>
      <c r="M6" s="9" t="inlineStr">
        <is>
          <t>Production Status</t>
        </is>
      </c>
      <c r="N6" s="9" t="inlineStr">
        <is>
          <t>Rights / Claims</t>
        </is>
      </c>
      <c r="O6" s="9" t="inlineStr">
        <is>
          <t>Current Stage</t>
        </is>
      </c>
      <c r="P6" s="9" t="inlineStr">
        <is>
          <t>Status</t>
        </is>
      </c>
      <c r="Q6" s="9" t="inlineStr">
        <is>
          <t>Owner</t>
        </is>
      </c>
      <c r="R6" s="9" t="inlineStr">
        <is>
          <t>Next Gate</t>
        </is>
      </c>
      <c r="S6" s="9" t="inlineStr">
        <is>
          <t>Master Film</t>
        </is>
      </c>
      <c r="T6" s="9" t="inlineStr">
        <is>
          <t>Social Cutdowns</t>
        </is>
      </c>
      <c r="U6" s="9" t="inlineStr">
        <is>
          <t>Recommended Production Budget (MMK)</t>
        </is>
      </c>
      <c r="V6" s="9" t="inlineStr">
        <is>
          <t>Current Version</t>
        </is>
      </c>
      <c r="W6" s="9" t="inlineStr">
        <is>
          <t>Research Confidence</t>
        </is>
      </c>
      <c r="X6" s="9" t="inlineStr">
        <is>
          <t>Latest Artifact / Folder</t>
        </is>
      </c>
      <c r="Y6" s="9" t="inlineStr">
        <is>
          <t>Last Updated</t>
        </is>
      </c>
    </row>
    <row r="7" ht="62" customHeight="1">
      <c r="B7" s="10" t="inlineStr">
        <is>
          <t>COM-2026-ENERGY-01</t>
        </is>
      </c>
      <c r="C7" s="11" t="inlineStr">
        <is>
          <t>CMP-2026-ENERGY-01</t>
        </is>
      </c>
      <c r="D7" s="12" t="inlineStr">
        <is>
          <t>The Continuity Clinic — Commercial Seed</t>
        </is>
      </c>
      <c r="E7" s="12" t="inlineStr">
        <is>
          <t>မရပ်မနား လည်ပတ်နိုင်ရေး ကလင်နစ်</t>
        </is>
      </c>
      <c r="F7" s="12" t="inlineStr">
        <is>
          <t>Brand / product film seed</t>
        </is>
      </c>
      <c r="G7" s="12" t="inlineStr">
        <is>
          <t>Start with the load that protects your customer promise.</t>
        </is>
      </c>
      <c r="H7" s="12" t="inlineStr">
        <is>
          <t>A single interruption threatens a customer promise; the protagonist isolates the work that must continue and takes a clear next step.</t>
        </is>
      </c>
      <c r="I7" s="12" t="inlineStr">
        <is>
          <t>warm industrial realism with precise cobalt information light</t>
        </is>
      </c>
      <c r="J7" s="12" t="inlineStr">
        <is>
          <t>Proposed/TBC Yangon office, workshop or clinic environment</t>
        </is>
      </c>
      <c r="K7" s="12" t="inlineStr">
        <is>
          <t>Seed treatment complete</t>
        </is>
      </c>
      <c r="L7" s="12" t="inlineStr">
        <is>
          <t>Detailed storyboard required</t>
        </is>
      </c>
      <c r="M7" s="12" t="inlineStr">
        <is>
          <t>Not started</t>
        </is>
      </c>
      <c r="N7" s="12" t="inlineStr">
        <is>
          <t>All locations, talent, claims, music and rights TBC</t>
        </is>
      </c>
      <c r="O7" s="11" t="inlineStr">
        <is>
          <t>G3 Creative Selected</t>
        </is>
      </c>
      <c r="P7" s="11" t="inlineStr">
        <is>
          <t>Needs Human Decision</t>
        </is>
      </c>
      <c r="Q7" s="12" t="inlineStr">
        <is>
          <t>ZYNTH Creative Lead</t>
        </is>
      </c>
      <c r="R7" s="12" t="inlineStr">
        <is>
          <t>Build 12-frame detailed storyboard + production feasibility</t>
        </is>
      </c>
      <c r="S7" s="12" t="inlineStr">
        <is>
          <t>TBC</t>
        </is>
      </c>
      <c r="T7" s="12" t="inlineStr">
        <is>
          <t>TBC</t>
        </is>
      </c>
      <c r="U7" s="11" t="inlineStr">
        <is>
          <t>TBC</t>
        </is>
      </c>
      <c r="V7" s="11" t="n">
        <v>1</v>
      </c>
      <c r="W7" s="11" t="inlineStr">
        <is>
          <t>Medium</t>
        </is>
      </c>
      <c r="X7" s="12" t="inlineStr">
        <is>
          <t>Open batch</t>
        </is>
      </c>
      <c r="Y7" s="15" t="inlineStr">
        <is>
          <t>2026-08-21 UTC</t>
        </is>
      </c>
    </row>
    <row r="8" ht="62" customHeight="1">
      <c r="B8" s="16" t="inlineStr">
        <is>
          <t>COM-2026-ENERGY-02</t>
        </is>
      </c>
      <c r="C8" s="17" t="inlineStr">
        <is>
          <t>CMP-2026-ENERGY-02</t>
        </is>
      </c>
      <c r="D8" s="18" t="inlineStr">
        <is>
          <t>Power Proof Roadshow — Commercial Seed</t>
        </is>
      </c>
      <c r="E8" s="18" t="inlineStr">
        <is>
          <t>မီးအားအဖြေကို လက်တွေ့ပြသတဲ့ Roadshow</t>
        </is>
      </c>
      <c r="F8" s="18" t="inlineStr">
        <is>
          <t>Brand / product film seed</t>
        </is>
      </c>
      <c r="G8" s="18" t="inlineStr">
        <is>
          <t>Bring the load profile; leave with the next decision.</t>
        </is>
      </c>
      <c r="H8" s="18" t="inlineStr">
        <is>
          <t>A manager watches a workflow pause, then sees the same task continue through a transparent live demonstration.</t>
        </is>
      </c>
      <c r="I8" s="18" t="inlineStr">
        <is>
          <t>sunlit documentary energy with graphic signal lines</t>
        </is>
      </c>
      <c r="J8" s="18" t="inlineStr">
        <is>
          <t>Proposed/TBC commercial cluster and controlled demonstration bay</t>
        </is>
      </c>
      <c r="K8" s="18" t="inlineStr">
        <is>
          <t>Seed treatment complete</t>
        </is>
      </c>
      <c r="L8" s="18" t="inlineStr">
        <is>
          <t>Detailed storyboard required</t>
        </is>
      </c>
      <c r="M8" s="18" t="inlineStr">
        <is>
          <t>Not started</t>
        </is>
      </c>
      <c r="N8" s="18" t="inlineStr">
        <is>
          <t>All locations, talent, claims, music and rights TBC</t>
        </is>
      </c>
      <c r="O8" s="17" t="inlineStr">
        <is>
          <t>G3 Creative Selected</t>
        </is>
      </c>
      <c r="P8" s="17" t="inlineStr">
        <is>
          <t>Needs Human Decision</t>
        </is>
      </c>
      <c r="Q8" s="18" t="inlineStr">
        <is>
          <t>ZYNTH Creative Lead</t>
        </is>
      </c>
      <c r="R8" s="18" t="inlineStr">
        <is>
          <t>Build 12-frame detailed storyboard + production feasibility</t>
        </is>
      </c>
      <c r="S8" s="18" t="inlineStr">
        <is>
          <t>TBC</t>
        </is>
      </c>
      <c r="T8" s="18" t="inlineStr">
        <is>
          <t>TBC</t>
        </is>
      </c>
      <c r="U8" s="17" t="inlineStr">
        <is>
          <t>TBC</t>
        </is>
      </c>
      <c r="V8" s="17" t="n">
        <v>1</v>
      </c>
      <c r="W8" s="17" t="inlineStr">
        <is>
          <t>Medium</t>
        </is>
      </c>
      <c r="X8" s="18" t="inlineStr">
        <is>
          <t>Open batch</t>
        </is>
      </c>
      <c r="Y8" s="21" t="inlineStr">
        <is>
          <t>2026-08-21 UTC</t>
        </is>
      </c>
    </row>
    <row r="9" ht="62" customHeight="1">
      <c r="B9" s="10" t="inlineStr">
        <is>
          <t>COM-2026-ENERGY-03</t>
        </is>
      </c>
      <c r="C9" s="11" t="inlineStr">
        <is>
          <t>CMP-2026-ENERGY-03</t>
        </is>
      </c>
      <c r="D9" s="12" t="inlineStr">
        <is>
          <t>Night Shift, No Pause — Commercial Seed</t>
        </is>
      </c>
      <c r="E9" s="12" t="inlineStr">
        <is>
          <t>ညပိုင်းအလုပ် မရပ်တန့်စေရ</t>
        </is>
      </c>
      <c r="F9" s="12" t="inlineStr">
        <is>
          <t>Brand / product film seed</t>
        </is>
      </c>
      <c r="G9" s="12" t="inlineStr">
        <is>
          <t>Choose the work you cannot afford to pause.</t>
        </is>
      </c>
      <c r="H9" s="12" t="inlineStr">
        <is>
          <t>At dusk, four ordinary work moments face a pause; a practical, human answer keeps each one moving.</t>
        </is>
      </c>
      <c r="I9" s="12" t="inlineStr">
        <is>
          <t>intimate dusk cinematography, amber practicals and clean white task light</t>
        </is>
      </c>
      <c r="J9" s="12" t="inlineStr">
        <is>
          <t>Proposed/TBC neighbourhood retail demonstration setting</t>
        </is>
      </c>
      <c r="K9" s="12" t="inlineStr">
        <is>
          <t>Seed treatment complete</t>
        </is>
      </c>
      <c r="L9" s="12" t="inlineStr">
        <is>
          <t>Detailed storyboard required</t>
        </is>
      </c>
      <c r="M9" s="12" t="inlineStr">
        <is>
          <t>Not started</t>
        </is>
      </c>
      <c r="N9" s="12" t="inlineStr">
        <is>
          <t>All locations, talent, claims, music and rights TBC</t>
        </is>
      </c>
      <c r="O9" s="11" t="inlineStr">
        <is>
          <t>G3 Creative Selected</t>
        </is>
      </c>
      <c r="P9" s="11" t="inlineStr">
        <is>
          <t>Needs Human Decision</t>
        </is>
      </c>
      <c r="Q9" s="12" t="inlineStr">
        <is>
          <t>ZYNTH Creative Lead</t>
        </is>
      </c>
      <c r="R9" s="12" t="inlineStr">
        <is>
          <t>Build 12-frame detailed storyboard + production feasibility</t>
        </is>
      </c>
      <c r="S9" s="12" t="inlineStr">
        <is>
          <t>TBC</t>
        </is>
      </c>
      <c r="T9" s="12" t="inlineStr">
        <is>
          <t>TBC</t>
        </is>
      </c>
      <c r="U9" s="11" t="inlineStr">
        <is>
          <t>TBC</t>
        </is>
      </c>
      <c r="V9" s="11" t="n">
        <v>1</v>
      </c>
      <c r="W9" s="11" t="inlineStr">
        <is>
          <t>Medium</t>
        </is>
      </c>
      <c r="X9" s="12" t="inlineStr">
        <is>
          <t>Open batch</t>
        </is>
      </c>
      <c r="Y9" s="15" t="inlineStr">
        <is>
          <t>2026-08-21 UTC</t>
        </is>
      </c>
    </row>
    <row r="10" ht="62" customHeight="1">
      <c r="B10" s="16" t="inlineStr">
        <is>
          <t>COM-2026-ENERGY-04</t>
        </is>
      </c>
      <c r="C10" s="17" t="inlineStr">
        <is>
          <t>CMP-2026-ENERGY-04</t>
        </is>
      </c>
      <c r="D10" s="18" t="inlineStr">
        <is>
          <t>Solar Open House: The Installation You Can Inspect — Commercial Seed</t>
        </is>
      </c>
      <c r="E10" s="18" t="inlineStr">
        <is>
          <t>ကိုယ်တိုင်ကြည့်ရှုစစ်ဆေးနိုင်တဲ့ Solar Open House</t>
        </is>
      </c>
      <c r="F10" s="18" t="inlineStr">
        <is>
          <t>Brand / product film seed</t>
        </is>
      </c>
      <c r="G10" s="18" t="inlineStr">
        <is>
          <t>Ask the questions that make the next decision safer.</t>
        </is>
      </c>
      <c r="H10" s="18" t="inlineStr">
        <is>
          <t>A buyer's unanswered questions become a calm site-walk narrative where each detail has a visible reason.</t>
        </is>
      </c>
      <c r="I10" s="18" t="inlineStr">
        <is>
          <t>premium daylight precision, quiet authority and documentary macro detail</t>
        </is>
      </c>
      <c r="J10" s="18" t="inlineStr">
        <is>
          <t>Client-approved active site or engineered mock-up, proposed/TBC</t>
        </is>
      </c>
      <c r="K10" s="18" t="inlineStr">
        <is>
          <t>Seed treatment complete</t>
        </is>
      </c>
      <c r="L10" s="18" t="inlineStr">
        <is>
          <t>Detailed storyboard required</t>
        </is>
      </c>
      <c r="M10" s="18" t="inlineStr">
        <is>
          <t>Not started</t>
        </is>
      </c>
      <c r="N10" s="18" t="inlineStr">
        <is>
          <t>All locations, talent, claims, music and rights TBC</t>
        </is>
      </c>
      <c r="O10" s="17" t="inlineStr">
        <is>
          <t>G3 Creative Selected</t>
        </is>
      </c>
      <c r="P10" s="17" t="inlineStr">
        <is>
          <t>Needs Human Decision</t>
        </is>
      </c>
      <c r="Q10" s="18" t="inlineStr">
        <is>
          <t>ZYNTH Creative Lead</t>
        </is>
      </c>
      <c r="R10" s="18" t="inlineStr">
        <is>
          <t>Build 12-frame detailed storyboard + production feasibility</t>
        </is>
      </c>
      <c r="S10" s="18" t="inlineStr">
        <is>
          <t>TBC</t>
        </is>
      </c>
      <c r="T10" s="18" t="inlineStr">
        <is>
          <t>TBC</t>
        </is>
      </c>
      <c r="U10" s="17" t="inlineStr">
        <is>
          <t>TBC</t>
        </is>
      </c>
      <c r="V10" s="17" t="n">
        <v>1</v>
      </c>
      <c r="W10" s="17" t="inlineStr">
        <is>
          <t>Medium</t>
        </is>
      </c>
      <c r="X10" s="18" t="inlineStr">
        <is>
          <t>Open batch</t>
        </is>
      </c>
      <c r="Y10" s="21" t="inlineStr">
        <is>
          <t>2026-08-21 UTC</t>
        </is>
      </c>
    </row>
    <row r="11" ht="62" customHeight="1">
      <c r="B11" s="10" t="inlineStr">
        <is>
          <t>COM-2026-ENERGY-05</t>
        </is>
      </c>
      <c r="C11" s="11" t="inlineStr">
        <is>
          <t>CMP-2026-ENERGY-05</t>
        </is>
      </c>
      <c r="D11" s="12" t="inlineStr">
        <is>
          <t>Energy Champions Academy — Commercial Seed</t>
        </is>
      </c>
      <c r="E11" s="12" t="inlineStr">
        <is>
          <t>Energy Champions Installer Academy</t>
        </is>
      </c>
      <c r="F11" s="12" t="inlineStr">
        <is>
          <t>Brand / product film seed</t>
        </is>
      </c>
      <c r="G11" s="12" t="inlineStr">
        <is>
          <t>Teach the customer what happens next—and why it matters.</t>
        </is>
      </c>
      <c r="H11" s="12" t="inlineStr">
        <is>
          <t>A practitioner reframes a technical answer into a human promise, then sees a customer understand what comes next.</t>
        </is>
      </c>
      <c r="I11" s="12" t="inlineStr">
        <is>
          <t>clear, optimistic workshop craft with emerald learning cues</t>
        </is>
      </c>
      <c r="J11" s="12" t="inlineStr">
        <is>
          <t>Proposed/TBC controlled training lab</t>
        </is>
      </c>
      <c r="K11" s="12" t="inlineStr">
        <is>
          <t>Seed treatment complete</t>
        </is>
      </c>
      <c r="L11" s="12" t="inlineStr">
        <is>
          <t>Detailed storyboard required</t>
        </is>
      </c>
      <c r="M11" s="12" t="inlineStr">
        <is>
          <t>Not started</t>
        </is>
      </c>
      <c r="N11" s="12" t="inlineStr">
        <is>
          <t>All locations, talent, claims, music and rights TBC</t>
        </is>
      </c>
      <c r="O11" s="11" t="inlineStr">
        <is>
          <t>G3 Creative Selected</t>
        </is>
      </c>
      <c r="P11" s="11" t="inlineStr">
        <is>
          <t>Needs Human Decision</t>
        </is>
      </c>
      <c r="Q11" s="12" t="inlineStr">
        <is>
          <t>ZYNTH Creative Lead</t>
        </is>
      </c>
      <c r="R11" s="12" t="inlineStr">
        <is>
          <t>Build 12-frame detailed storyboard + production feasibility</t>
        </is>
      </c>
      <c r="S11" s="12" t="inlineStr">
        <is>
          <t>TBC</t>
        </is>
      </c>
      <c r="T11" s="12" t="inlineStr">
        <is>
          <t>TBC</t>
        </is>
      </c>
      <c r="U11" s="11" t="inlineStr">
        <is>
          <t>TBC</t>
        </is>
      </c>
      <c r="V11" s="11" t="n">
        <v>1</v>
      </c>
      <c r="W11" s="11" t="inlineStr">
        <is>
          <t>Medium</t>
        </is>
      </c>
      <c r="X11" s="12" t="inlineStr">
        <is>
          <t>Open batch</t>
        </is>
      </c>
      <c r="Y11" s="15" t="inlineStr">
        <is>
          <t>2026-08-21 UTC</t>
        </is>
      </c>
    </row>
    <row r="12" ht="62" customHeight="1">
      <c r="B12" s="16" t="inlineStr">
        <is>
          <t>COM-2026-ENERGY-06</t>
        </is>
      </c>
      <c r="C12" s="17" t="inlineStr">
        <is>
          <t>CMP-2026-ENERGY-06</t>
        </is>
      </c>
      <c r="D12" s="18" t="inlineStr">
        <is>
          <t>Charge the Route — Commercial Seed</t>
        </is>
      </c>
      <c r="E12" s="18" t="inlineStr">
        <is>
          <t>လမ်းကြောင်းတိုင်းကို အားဖြည့်မည့် Charge the Route</t>
        </is>
      </c>
      <c r="F12" s="18" t="inlineStr">
        <is>
          <t>Brand / product film seed</t>
        </is>
      </c>
      <c r="G12" s="18" t="inlineStr">
        <is>
          <t>Your route is an energy decision too.</t>
        </is>
      </c>
      <c r="H12" s="18" t="inlineStr">
        <is>
          <t>A route manager pins urgent stops to a board and realises every kilometre depends on a site-level power decision.</t>
        </is>
      </c>
      <c r="I12" s="18" t="inlineStr">
        <is>
          <t>crisp kinetic mobility language with lime signal accents</t>
        </is>
      </c>
      <c r="J12" s="18" t="inlineStr">
        <is>
          <t>Proposed/TBC dealer forecourt or fleet depot</t>
        </is>
      </c>
      <c r="K12" s="18" t="inlineStr">
        <is>
          <t>Seed treatment complete</t>
        </is>
      </c>
      <c r="L12" s="18" t="inlineStr">
        <is>
          <t>Detailed storyboard required</t>
        </is>
      </c>
      <c r="M12" s="18" t="inlineStr">
        <is>
          <t>Not started</t>
        </is>
      </c>
      <c r="N12" s="18" t="inlineStr">
        <is>
          <t>All locations, talent, claims, music and rights TBC</t>
        </is>
      </c>
      <c r="O12" s="17" t="inlineStr">
        <is>
          <t>G3 Creative Selected</t>
        </is>
      </c>
      <c r="P12" s="17" t="inlineStr">
        <is>
          <t>Needs Human Decision</t>
        </is>
      </c>
      <c r="Q12" s="18" t="inlineStr">
        <is>
          <t>ZYNTH Creative Lead</t>
        </is>
      </c>
      <c r="R12" s="18" t="inlineStr">
        <is>
          <t>Build 12-frame detailed storyboard + production feasibility</t>
        </is>
      </c>
      <c r="S12" s="18" t="inlineStr">
        <is>
          <t>TBC</t>
        </is>
      </c>
      <c r="T12" s="18" t="inlineStr">
        <is>
          <t>TBC</t>
        </is>
      </c>
      <c r="U12" s="17" t="inlineStr">
        <is>
          <t>TBC</t>
        </is>
      </c>
      <c r="V12" s="17" t="n">
        <v>1</v>
      </c>
      <c r="W12" s="17" t="inlineStr">
        <is>
          <t>Medium</t>
        </is>
      </c>
      <c r="X12" s="18" t="inlineStr">
        <is>
          <t>Open batch</t>
        </is>
      </c>
      <c r="Y12" s="21" t="inlineStr">
        <is>
          <t>2026-08-21 UTC</t>
        </is>
      </c>
    </row>
    <row r="13" ht="62" customHeight="1">
      <c r="B13" s="10" t="inlineStr">
        <is>
          <t>COM-2026-ENERGY-07</t>
        </is>
      </c>
      <c r="C13" s="11" t="inlineStr">
        <is>
          <t>CMP-2026-ENERGY-07</t>
        </is>
      </c>
      <c r="D13" s="12" t="inlineStr">
        <is>
          <t>Light for What Matters — Commercial Seed</t>
        </is>
      </c>
      <c r="E13" s="12" t="inlineStr">
        <is>
          <t>အရေးကြီးသည့်အရာများအတွက် အလင်းရောင်</t>
        </is>
      </c>
      <c r="F13" s="12" t="inlineStr">
        <is>
          <t>Brand / product film seed</t>
        </is>
      </c>
      <c r="G13" s="12" t="inlineStr">
        <is>
          <t>A responsible energy conversation begins by listening.</t>
        </is>
      </c>
      <c r="H13" s="12" t="inlineStr">
        <is>
          <t>Rather than arriving with an answer, a facilitator asks one quiet question and lets community voices define the frame.</t>
        </is>
      </c>
      <c r="I13" s="12" t="inlineStr">
        <is>
          <t>human-centred natural light, restrained documentary intimacy and honest texture</t>
        </is>
      </c>
      <c r="J13" s="12" t="inlineStr">
        <is>
          <t>Proposed/TBC accessible community venue</t>
        </is>
      </c>
      <c r="K13" s="12" t="inlineStr">
        <is>
          <t>Seed treatment complete</t>
        </is>
      </c>
      <c r="L13" s="12" t="inlineStr">
        <is>
          <t>Detailed storyboard required</t>
        </is>
      </c>
      <c r="M13" s="12" t="inlineStr">
        <is>
          <t>Not started</t>
        </is>
      </c>
      <c r="N13" s="12" t="inlineStr">
        <is>
          <t>All locations, talent, claims, music and rights TBC</t>
        </is>
      </c>
      <c r="O13" s="11" t="inlineStr">
        <is>
          <t>G3 Creative Selected</t>
        </is>
      </c>
      <c r="P13" s="11" t="inlineStr">
        <is>
          <t>Needs Human Decision</t>
        </is>
      </c>
      <c r="Q13" s="12" t="inlineStr">
        <is>
          <t>ZYNTH Creative Lead</t>
        </is>
      </c>
      <c r="R13" s="12" t="inlineStr">
        <is>
          <t>Build 12-frame detailed storyboard + production feasibility</t>
        </is>
      </c>
      <c r="S13" s="12" t="inlineStr">
        <is>
          <t>TBC</t>
        </is>
      </c>
      <c r="T13" s="12" t="inlineStr">
        <is>
          <t>TBC</t>
        </is>
      </c>
      <c r="U13" s="11" t="inlineStr">
        <is>
          <t>TBC</t>
        </is>
      </c>
      <c r="V13" s="11" t="n">
        <v>1</v>
      </c>
      <c r="W13" s="11" t="inlineStr">
        <is>
          <t>Medium</t>
        </is>
      </c>
      <c r="X13" s="12" t="inlineStr">
        <is>
          <t>Open batch</t>
        </is>
      </c>
      <c r="Y13" s="15" t="inlineStr">
        <is>
          <t>2026-08-21 UTC</t>
        </is>
      </c>
    </row>
    <row r="14" ht="62" customHeight="1">
      <c r="B14" s="16" t="inlineStr">
        <is>
          <t>COM-2026-ENERGY-08</t>
        </is>
      </c>
      <c r="C14" s="17" t="inlineStr">
        <is>
          <t>CMP-2026-ENERGY-08</t>
        </is>
      </c>
      <c r="D14" s="18" t="inlineStr">
        <is>
          <t>My Load, My Plan — Commercial Seed</t>
        </is>
      </c>
      <c r="E14" s="18" t="inlineStr">
        <is>
          <t>ကျွန်တော့် Load၊ ကျွန်တော့် Plan</t>
        </is>
      </c>
      <c r="F14" s="18" t="inlineStr">
        <is>
          <t>Brand / product film seed</t>
        </is>
      </c>
      <c r="G14" s="18" t="inlineStr">
        <is>
          <t>The right first question is not 'which panel?' but 'what must run?'.</t>
        </is>
      </c>
      <c r="H14" s="18" t="inlineStr">
        <is>
          <t>A busy owner is asked the wrong question, then a better one unlocks a clear conversation path on a phone.</t>
        </is>
      </c>
      <c r="I14" s="18" t="inlineStr">
        <is>
          <t>calm interface-led realism with crisp white and solar-yellow signals</t>
        </is>
      </c>
      <c r="J14" s="18" t="inlineStr">
        <is>
          <t>Bilingual mobile UI and everyday business settings</t>
        </is>
      </c>
      <c r="K14" s="18" t="inlineStr">
        <is>
          <t>Seed treatment complete</t>
        </is>
      </c>
      <c r="L14" s="18" t="inlineStr">
        <is>
          <t>Detailed storyboard required</t>
        </is>
      </c>
      <c r="M14" s="18" t="inlineStr">
        <is>
          <t>Not started</t>
        </is>
      </c>
      <c r="N14" s="18" t="inlineStr">
        <is>
          <t>All locations, talent, claims, music and rights TBC</t>
        </is>
      </c>
      <c r="O14" s="17" t="inlineStr">
        <is>
          <t>G3 Creative Selected</t>
        </is>
      </c>
      <c r="P14" s="17" t="inlineStr">
        <is>
          <t>Needs Human Decision</t>
        </is>
      </c>
      <c r="Q14" s="18" t="inlineStr">
        <is>
          <t>ZYNTH Creative Lead</t>
        </is>
      </c>
      <c r="R14" s="18" t="inlineStr">
        <is>
          <t>Build 12-frame detailed storyboard + production feasibility</t>
        </is>
      </c>
      <c r="S14" s="18" t="inlineStr">
        <is>
          <t>TBC</t>
        </is>
      </c>
      <c r="T14" s="18" t="inlineStr">
        <is>
          <t>TBC</t>
        </is>
      </c>
      <c r="U14" s="17" t="inlineStr">
        <is>
          <t>TBC</t>
        </is>
      </c>
      <c r="V14" s="17" t="n">
        <v>1</v>
      </c>
      <c r="W14" s="17" t="inlineStr">
        <is>
          <t>Medium</t>
        </is>
      </c>
      <c r="X14" s="18" t="inlineStr">
        <is>
          <t>Open batch</t>
        </is>
      </c>
      <c r="Y14" s="21" t="inlineStr">
        <is>
          <t>2026-08-21 UTC</t>
        </is>
      </c>
    </row>
    <row r="15" ht="62" customHeight="1">
      <c r="B15" s="10" t="inlineStr">
        <is>
          <t>COM-2026-ENERGY-09</t>
        </is>
      </c>
      <c r="C15" s="11" t="inlineStr">
        <is>
          <t>CMP-2026-ENERGY-09</t>
        </is>
      </c>
      <c r="D15" s="12" t="inlineStr">
        <is>
          <t>The 100-Hour Question — Commercial Seed</t>
        </is>
      </c>
      <c r="E15" s="12" t="inlineStr">
        <is>
          <t>နာရီ ၁၀၀ ရဲ့ မေးခွန်း</t>
        </is>
      </c>
      <c r="F15" s="12" t="inlineStr">
        <is>
          <t>Brand / product film seed</t>
        </is>
      </c>
      <c r="G15" s="12" t="inlineStr">
        <is>
          <t>Do not accept a promise you cannot interrogate.</t>
        </is>
      </c>
      <c r="H15" s="12" t="inlineStr">
        <is>
          <t>A series of beautiful product claims dissolves into one grounded question: 'How would you verify that?'</t>
        </is>
      </c>
      <c r="I15" s="12" t="inlineStr">
        <is>
          <t>high-contrast editorial craft, macro detail and measured kinetic typography</t>
        </is>
      </c>
      <c r="J15" s="12" t="inlineStr">
        <is>
          <t>Proposed/TBC studio and controlled technical demonstration set</t>
        </is>
      </c>
      <c r="K15" s="12" t="inlineStr">
        <is>
          <t>Seed treatment complete</t>
        </is>
      </c>
      <c r="L15" s="12" t="inlineStr">
        <is>
          <t>Detailed storyboard required</t>
        </is>
      </c>
      <c r="M15" s="12" t="inlineStr">
        <is>
          <t>Not started</t>
        </is>
      </c>
      <c r="N15" s="12" t="inlineStr">
        <is>
          <t>All locations, talent, claims, music and rights TBC</t>
        </is>
      </c>
      <c r="O15" s="11" t="inlineStr">
        <is>
          <t>G3 Creative Selected</t>
        </is>
      </c>
      <c r="P15" s="11" t="inlineStr">
        <is>
          <t>Needs Human Decision</t>
        </is>
      </c>
      <c r="Q15" s="12" t="inlineStr">
        <is>
          <t>ZYNTH Creative Lead</t>
        </is>
      </c>
      <c r="R15" s="12" t="inlineStr">
        <is>
          <t>Build 12-frame detailed storyboard + production feasibility</t>
        </is>
      </c>
      <c r="S15" s="12" t="inlineStr">
        <is>
          <t>TBC</t>
        </is>
      </c>
      <c r="T15" s="12" t="inlineStr">
        <is>
          <t>TBC</t>
        </is>
      </c>
      <c r="U15" s="11" t="inlineStr">
        <is>
          <t>TBC</t>
        </is>
      </c>
      <c r="V15" s="11" t="n">
        <v>1</v>
      </c>
      <c r="W15" s="11" t="inlineStr">
        <is>
          <t>Medium</t>
        </is>
      </c>
      <c r="X15" s="12" t="inlineStr">
        <is>
          <t>Open batch</t>
        </is>
      </c>
      <c r="Y15" s="15" t="inlineStr">
        <is>
          <t>2026-08-21 UTC</t>
        </is>
      </c>
    </row>
    <row r="16" ht="62" customHeight="1">
      <c r="B16" s="16" t="inlineStr">
        <is>
          <t>COM-2026-ENERGY-10</t>
        </is>
      </c>
      <c r="C16" s="17" t="inlineStr">
        <is>
          <t>CMP-2026-ENERGY-10</t>
        </is>
      </c>
      <c r="D16" s="18" t="inlineStr">
        <is>
          <t>Renewal Window — Commercial Seed</t>
        </is>
      </c>
      <c r="E16" s="18" t="inlineStr">
        <is>
          <t>ပြန်လည်စတင်ဖို့ Renewal Window</t>
        </is>
      </c>
      <c r="F16" s="18" t="inlineStr">
        <is>
          <t>Brand / product film seed</t>
        </is>
      </c>
      <c r="G16" s="18" t="inlineStr">
        <is>
          <t>Choose the decision that helps your team move forward.</t>
        </is>
      </c>
      <c r="H16" s="18" t="inlineStr">
        <is>
          <t>A paused email thread becomes a calm choice architecture that gives the buyer agency to reopen, re-scope or pause.</t>
        </is>
      </c>
      <c r="I16" s="18" t="inlineStr">
        <is>
          <t>quiet executive clarity, warm paper textures and decisive motion graphics</t>
        </is>
      </c>
      <c r="J16" s="18" t="inlineStr">
        <is>
          <t>Bilingual email and decision-sprint interface</t>
        </is>
      </c>
      <c r="K16" s="18" t="inlineStr">
        <is>
          <t>Seed treatment complete</t>
        </is>
      </c>
      <c r="L16" s="18" t="inlineStr">
        <is>
          <t>Detailed storyboard required</t>
        </is>
      </c>
      <c r="M16" s="18" t="inlineStr">
        <is>
          <t>Not started</t>
        </is>
      </c>
      <c r="N16" s="18" t="inlineStr">
        <is>
          <t>All locations, talent, claims, music and rights TBC</t>
        </is>
      </c>
      <c r="O16" s="17" t="inlineStr">
        <is>
          <t>G3 Creative Selected</t>
        </is>
      </c>
      <c r="P16" s="17" t="inlineStr">
        <is>
          <t>Needs Human Decision</t>
        </is>
      </c>
      <c r="Q16" s="18" t="inlineStr">
        <is>
          <t>ZYNTH Creative Lead</t>
        </is>
      </c>
      <c r="R16" s="18" t="inlineStr">
        <is>
          <t>Build 12-frame detailed storyboard + production feasibility</t>
        </is>
      </c>
      <c r="S16" s="18" t="inlineStr">
        <is>
          <t>TBC</t>
        </is>
      </c>
      <c r="T16" s="18" t="inlineStr">
        <is>
          <t>TBC</t>
        </is>
      </c>
      <c r="U16" s="17" t="inlineStr">
        <is>
          <t>TBC</t>
        </is>
      </c>
      <c r="V16" s="17" t="n">
        <v>1</v>
      </c>
      <c r="W16" s="17" t="inlineStr">
        <is>
          <t>Medium</t>
        </is>
      </c>
      <c r="X16" s="18" t="inlineStr">
        <is>
          <t>Open batch</t>
        </is>
      </c>
      <c r="Y16" s="21" t="inlineStr">
        <is>
          <t>2026-08-21 UTC</t>
        </is>
      </c>
    </row>
  </sheetData>
  <autoFilter ref="B6:Y16"/>
  <mergeCells count="3">
    <mergeCell ref="B3:X3"/>
    <mergeCell ref="B2:X2"/>
    <mergeCell ref="B5:X5"/>
  </mergeCells>
  <conditionalFormatting sqref="P7:P500">
    <cfRule type="expression" priority="1" dxfId="0">
      <formula>P7="Needs Human Decision"</formula>
    </cfRule>
    <cfRule type="expression" priority="2" dxfId="1">
      <formula>P7="Approved"</formula>
    </cfRule>
    <cfRule type="expression" priority="3" dxfId="2">
      <formula>P7="Live"</formula>
    </cfRule>
  </conditionalFormatting>
  <dataValidations count="3">
    <dataValidation sqref="P7:P500" showDropDown="0" showInputMessage="0" showErrorMessage="0" allowBlank="1" errorTitle="Controlled field" error="Please use the approved list value." type="list">
      <formula1>='Learning &amp; Guide'!$R$2:$R$9</formula1>
    </dataValidation>
    <dataValidation sqref="O7:O500" showDropDown="0" showInputMessage="0" showErrorMessage="0" allowBlank="1" errorTitle="Controlled field" error="Please use the approved list value." type="list">
      <formula1>='Learning &amp; Guide'!$S$2:$S$9</formula1>
    </dataValidation>
    <dataValidation sqref="W7:W500" showDropDown="0" showInputMessage="0" showErrorMessage="0" allowBlank="1" errorTitle="Controlled field" error="Please use the approved list value." type="list">
      <formula1>='Learning &amp; Guide'!$T$2:$T$5</formula1>
    </dataValidation>
  </dataValidations>
  <hyperlinks>
    <hyperlink xmlns:r="http://schemas.openxmlformats.org/officeDocument/2006/relationships" ref="X7" r:id="rId1"/>
    <hyperlink xmlns:r="http://schemas.openxmlformats.org/officeDocument/2006/relationships" ref="X8" r:id="rId2"/>
    <hyperlink xmlns:r="http://schemas.openxmlformats.org/officeDocument/2006/relationships" ref="X9" r:id="rId3"/>
    <hyperlink xmlns:r="http://schemas.openxmlformats.org/officeDocument/2006/relationships" ref="X10" r:id="rId4"/>
    <hyperlink xmlns:r="http://schemas.openxmlformats.org/officeDocument/2006/relationships" ref="X11" r:id="rId5"/>
    <hyperlink xmlns:r="http://schemas.openxmlformats.org/officeDocument/2006/relationships" ref="X12" r:id="rId6"/>
    <hyperlink xmlns:r="http://schemas.openxmlformats.org/officeDocument/2006/relationships" ref="X13" r:id="rId7"/>
    <hyperlink xmlns:r="http://schemas.openxmlformats.org/officeDocument/2006/relationships" ref="X14" r:id="rId8"/>
    <hyperlink xmlns:r="http://schemas.openxmlformats.org/officeDocument/2006/relationships" ref="X15" r:id="rId9"/>
    <hyperlink xmlns:r="http://schemas.openxmlformats.org/officeDocument/2006/relationships" ref="X16" r:id="rId10"/>
  </hyperlinks>
  <pageMargins left="0.75" right="0.75" top="1" bottom="1" header="0.5" footer="0.5"/>
  <headerFooter>
    <oddHeader/>
    <oddFooter>&amp;C&amp;8 ZYNTH Master Tracker | Zero-cost-first | Generated 2026-08-21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4A235A"/>
    <outlinePr summaryBelow="1" summaryRight="1"/>
    <pageSetUpPr/>
  </sheetPr>
  <dimension ref="B2:P1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2" customWidth="1" min="4" max="4"/>
    <col width="45" customWidth="1" min="5" max="5"/>
    <col width="50" customWidth="1" min="6" max="6"/>
    <col width="22" customWidth="1" min="7" max="7"/>
    <col width="18" customWidth="1" min="8" max="8"/>
    <col width="16" customWidth="1" min="9" max="9"/>
    <col width="20" customWidth="1" min="10" max="10"/>
    <col width="22" customWidth="1" min="11" max="11"/>
    <col width="16" customWidth="1" min="12" max="12"/>
  </cols>
  <sheetData>
    <row r="2" ht="30" customHeight="1">
      <c r="B2" s="1" t="inlineStr">
        <is>
          <t>Research &amp; Sources — Claim-Level Evidence Register</t>
        </is>
      </c>
    </row>
    <row r="3" ht="26" customHeight="1">
      <c r="B3" s="2" t="inlineStr">
        <is>
          <t>Every client-facing claim must link to a source, access date, limitation and confidence. A source does not equal an endorsement.</t>
        </is>
      </c>
    </row>
    <row r="5" ht="23" customHeight="1">
      <c r="B5" s="8" t="inlineStr">
        <is>
          <t>VERIFIED SOURCE REGISTER</t>
        </is>
      </c>
    </row>
    <row r="6" ht="36" customHeight="1">
      <c r="B6" s="9" t="inlineStr">
        <is>
          <t>Source ID</t>
        </is>
      </c>
      <c r="C6" s="9" t="inlineStr">
        <is>
          <t>Publisher / Source</t>
        </is>
      </c>
      <c r="D6" s="9" t="inlineStr">
        <is>
          <t>Type</t>
        </is>
      </c>
      <c r="E6" s="9" t="inlineStr">
        <is>
          <t>Finding Retained</t>
        </is>
      </c>
      <c r="F6" s="9" t="inlineStr">
        <is>
          <t>Use Limitation</t>
        </is>
      </c>
      <c r="G6" s="9" t="inlineStr">
        <is>
          <t>Source URL</t>
        </is>
      </c>
      <c r="H6" s="9" t="inlineStr">
        <is>
          <t>Access / Publication Date</t>
        </is>
      </c>
      <c r="I6" s="9" t="inlineStr">
        <is>
          <t>Confidence</t>
        </is>
      </c>
      <c r="J6" s="9" t="inlineStr">
        <is>
          <t>Reviewer</t>
        </is>
      </c>
      <c r="K6" s="9" t="inlineStr">
        <is>
          <t>Status</t>
        </is>
      </c>
    </row>
    <row r="7" ht="70" customHeight="1">
      <c r="B7" s="10" t="inlineStr">
        <is>
          <t>S01</t>
        </is>
      </c>
      <c r="C7" s="12" t="inlineStr">
        <is>
          <t>Reuters</t>
        </is>
      </c>
      <c r="D7" s="12" t="inlineStr">
        <is>
          <t>International media</t>
        </is>
      </c>
      <c r="E7" s="12" t="inlineStr">
        <is>
          <t>Reports solar adoption amid unreliable electricity and cites Chinese customs data for 2025 solar-panel imports.</t>
        </is>
      </c>
      <c r="F7" s="12" t="inlineStr">
        <is>
          <t>Context only; do not use interviews as testimonials or forecasts.</t>
        </is>
      </c>
      <c r="G7" s="12" t="inlineStr">
        <is>
          <t>Open source</t>
        </is>
      </c>
      <c r="H7" s="12" t="inlineStr">
        <is>
          <t>14 Nov 2025</t>
        </is>
      </c>
      <c r="I7" s="11" t="inlineStr">
        <is>
          <t>Medium</t>
        </is>
      </c>
      <c r="J7" s="11" t="inlineStr">
        <is>
          <t>ZYNTH Research</t>
        </is>
      </c>
      <c r="K7" s="23" t="inlineStr">
        <is>
          <t>Cleared</t>
        </is>
      </c>
    </row>
    <row r="8" ht="70" customHeight="1">
      <c r="B8" s="16" t="inlineStr">
        <is>
          <t>S02</t>
        </is>
      </c>
      <c r="C8" s="18" t="inlineStr">
        <is>
          <t>Xinhua</t>
        </is>
      </c>
      <c r="D8" s="18" t="inlineStr">
        <is>
          <t>Dated media / event coverage</t>
        </is>
      </c>
      <c r="E8" s="18" t="inlineStr">
        <is>
          <t>Reports the 16–18 Jan 2026 Myanmar Power and Solar Energy Storage Lighting Expo in Yangon with 70+ exhibitors and 77 brands.</t>
        </is>
      </c>
      <c r="F8" s="18" t="inlineStr">
        <is>
          <t>Historical precedent only; no sponsorship, repeat edition or Q4 event assumed.</t>
        </is>
      </c>
      <c r="G8" s="18" t="inlineStr">
        <is>
          <t>Open source</t>
        </is>
      </c>
      <c r="H8" s="18" t="inlineStr">
        <is>
          <t>18 Jan 2026</t>
        </is>
      </c>
      <c r="I8" s="17" t="inlineStr">
        <is>
          <t>Medium</t>
        </is>
      </c>
      <c r="J8" s="17" t="inlineStr">
        <is>
          <t>ZYNTH Research</t>
        </is>
      </c>
      <c r="K8" s="24" t="inlineStr">
        <is>
          <t>Cleared</t>
        </is>
      </c>
    </row>
    <row r="9" ht="70" customHeight="1">
      <c r="B9" s="10" t="inlineStr">
        <is>
          <t>S03</t>
        </is>
      </c>
      <c r="C9" s="12" t="inlineStr">
        <is>
          <t>Smart Power Myanmar</t>
        </is>
      </c>
      <c r="D9" s="12" t="inlineStr">
        <is>
          <t>Local-sector provider website</t>
        </is>
      </c>
      <c r="E9" s="12" t="inlineStr">
        <is>
          <t>Published journey runs from loan application to installation; shows bank/business logos and individual case studies.</t>
        </is>
      </c>
      <c r="F9" s="12" t="inlineStr">
        <is>
          <t>Supplier statements only; do not generalise outcomes or imply partnership.</t>
        </is>
      </c>
      <c r="G9" s="12" t="inlineStr">
        <is>
          <t>Open source</t>
        </is>
      </c>
      <c r="H9" s="12" t="inlineStr">
        <is>
          <t>21 Aug 2026</t>
        </is>
      </c>
      <c r="I9" s="11" t="inlineStr">
        <is>
          <t>Low</t>
        </is>
      </c>
      <c r="J9" s="11" t="inlineStr">
        <is>
          <t>ZYNTH Research</t>
        </is>
      </c>
      <c r="K9" s="23" t="inlineStr">
        <is>
          <t>Use with limitation</t>
        </is>
      </c>
    </row>
    <row r="10" ht="70" customHeight="1">
      <c r="B10" s="16" t="inlineStr">
        <is>
          <t>S04</t>
        </is>
      </c>
      <c r="C10" s="18" t="inlineStr">
        <is>
          <t>Global New Light of Myanmar</t>
        </is>
      </c>
      <c r="D10" s="18" t="inlineStr">
        <is>
          <t>Official-state publisher</t>
        </is>
      </c>
      <c r="E10" s="18" t="inlineStr">
        <is>
          <t>States solar systems are being encouraged and mentions a 15 July solar workshop.</t>
        </is>
      </c>
      <c r="F10" s="18" t="inlineStr">
        <is>
          <t>Official-policy context only; not a permit, endorsement or procurement right.</t>
        </is>
      </c>
      <c r="G10" s="18" t="inlineStr">
        <is>
          <t>Open source</t>
        </is>
      </c>
      <c r="H10" s="18" t="inlineStr">
        <is>
          <t>25 Jul 2026</t>
        </is>
      </c>
      <c r="I10" s="17" t="inlineStr">
        <is>
          <t>Medium</t>
        </is>
      </c>
      <c r="J10" s="17" t="inlineStr">
        <is>
          <t>ZYNTH Research</t>
        </is>
      </c>
      <c r="K10" s="24" t="inlineStr">
        <is>
          <t>Cleared</t>
        </is>
      </c>
    </row>
    <row r="11" ht="70" customHeight="1">
      <c r="B11" s="10" t="inlineStr">
        <is>
          <t>S05</t>
        </is>
      </c>
      <c r="C11" s="12" t="inlineStr">
        <is>
          <t>Myanmar MOFA / National Portal</t>
        </is>
      </c>
      <c r="D11" s="12" t="inlineStr">
        <is>
          <t>Official public calendar</t>
        </is>
      </c>
      <c r="E11" s="12" t="inlineStr">
        <is>
          <t>Lists 2026 Thadingyut, Tazaungdaing, National Day and Christmas holidays.</t>
        </is>
      </c>
      <c r="F11" s="12" t="inlineStr">
        <is>
          <t>Timing cue only; no activation permit, association or sponsorship implied.</t>
        </is>
      </c>
      <c r="G11" s="12" t="inlineStr">
        <is>
          <t>Open source</t>
        </is>
      </c>
      <c r="H11" s="12" t="inlineStr">
        <is>
          <t>21 Aug 2026</t>
        </is>
      </c>
      <c r="I11" s="11" t="inlineStr">
        <is>
          <t>High</t>
        </is>
      </c>
      <c r="J11" s="11" t="inlineStr">
        <is>
          <t>ZYNTH Research</t>
        </is>
      </c>
      <c r="K11" s="23" t="inlineStr">
        <is>
          <t>Cleared</t>
        </is>
      </c>
    </row>
    <row r="12" ht="70" customHeight="1">
      <c r="B12" s="16" t="inlineStr">
        <is>
          <t>S06</t>
        </is>
      </c>
      <c r="C12" s="18" t="inlineStr">
        <is>
          <t>Livoltek YouTube expo video</t>
        </is>
      </c>
      <c r="D12" s="18" t="inlineStr">
        <is>
          <t>First-hand exhibitor video</t>
        </is>
      </c>
      <c r="E12" s="18" t="inlineStr">
        <is>
          <t>Shows booth format, demo, meeting tables and installer/reseller-oriented materials.</t>
        </is>
      </c>
      <c r="F12" s="18" t="inlineStr">
        <is>
          <t>Visual format only; conflicting dates/technical claims excluded from factual planning.</t>
        </is>
      </c>
      <c r="G12" s="18" t="inlineStr">
        <is>
          <t>Open source</t>
        </is>
      </c>
      <c r="H12" s="18" t="inlineStr">
        <is>
          <t>21 Aug 2026</t>
        </is>
      </c>
      <c r="I12" s="17" t="inlineStr">
        <is>
          <t>Low</t>
        </is>
      </c>
      <c r="J12" s="17" t="inlineStr">
        <is>
          <t>ZYNTH Research</t>
        </is>
      </c>
      <c r="K12" s="24" t="inlineStr">
        <is>
          <t>Use with limitation</t>
        </is>
      </c>
    </row>
  </sheetData>
  <autoFilter ref="B6:K12"/>
  <mergeCells count="3">
    <mergeCell ref="B3:P3"/>
    <mergeCell ref="B5:P5"/>
    <mergeCell ref="B2:P2"/>
  </mergeCells>
  <dataValidations count="2">
    <dataValidation sqref="I7:I500" showDropDown="0" showInputMessage="0" showErrorMessage="0" allowBlank="1" errorTitle="Controlled field" error="Please use the approved list value." type="list">
      <formula1>='Learning &amp; Guide'!$T$2:$T$5</formula1>
    </dataValidation>
    <dataValidation sqref="K7:K500" showDropDown="0" showInputMessage="0" showErrorMessage="0" allowBlank="1" errorTitle="Controlled field" error="Please use the approved list value." type="list">
      <formula1>='Learning &amp; Guide'!$R$2:$R$9</formula1>
    </dataValidation>
  </dataValidation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</hyperlinks>
  <pageMargins left="0.75" right="0.75" top="1" bottom="1" header="0.5" footer="0.5"/>
  <headerFooter>
    <oddHeader/>
    <oddFooter>&amp;C&amp;8 ZYNTH Master Tracker | Zero-cost-first | Generated 2026-08-21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B2:Q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16" customWidth="1" min="4" max="4"/>
    <col width="28" customWidth="1" min="5" max="5"/>
    <col width="13" customWidth="1" min="6" max="6"/>
    <col width="45" customWidth="1" min="7" max="7"/>
    <col width="14" customWidth="1" min="8" max="8"/>
    <col width="32" customWidth="1" min="9" max="9"/>
    <col width="32" customWidth="1" min="10" max="10"/>
    <col width="17" customWidth="1" min="11" max="11"/>
    <col width="17" customWidth="1" min="12" max="12"/>
    <col width="23" customWidth="1" min="13" max="13"/>
    <col width="42" customWidth="1" min="14" max="14"/>
    <col width="18" customWidth="1" min="15" max="15"/>
  </cols>
  <sheetData>
    <row r="2" ht="30" customHeight="1">
      <c r="B2" s="1" t="inlineStr">
        <is>
          <t>AI Council — Manual, Provider-Neutral Collaboration Log</t>
        </is>
      </c>
    </row>
    <row r="3" ht="26" customHeight="1">
      <c r="B3" s="2" t="inlineStr">
        <is>
          <t>No API required. Use the same canonical brief in any available AI web interface, then paste only the structured artifact and decision here.</t>
        </is>
      </c>
    </row>
    <row r="5" ht="23" customHeight="1">
      <c r="B5" s="22" t="inlineStr">
        <is>
          <t>AI CONTRIBUTION &amp; HUMAN RESOLUTION REGISTER</t>
        </is>
      </c>
    </row>
    <row r="6" ht="36" customHeight="1">
      <c r="B6" s="9" t="inlineStr">
        <is>
          <t>Contribution ID</t>
        </is>
      </c>
      <c r="C6" s="9" t="inlineStr">
        <is>
          <t>Record ID</t>
        </is>
      </c>
      <c r="D6" s="9" t="inlineStr">
        <is>
          <t>AI Role</t>
        </is>
      </c>
      <c r="E6" s="9" t="inlineStr">
        <is>
          <t>Provider / Tool</t>
        </is>
      </c>
      <c r="F6" s="9" t="inlineStr">
        <is>
          <t>Brief Version</t>
        </is>
      </c>
      <c r="G6" s="9" t="inlineStr">
        <is>
          <t>Contribution Summary / Artifact Link</t>
        </is>
      </c>
      <c r="H6" s="9" t="inlineStr">
        <is>
          <t>Evidence Count</t>
        </is>
      </c>
      <c r="I6" s="9" t="inlineStr">
        <is>
          <t>Pros / Strong Points</t>
        </is>
      </c>
      <c r="J6" s="9" t="inlineStr">
        <is>
          <t>Cons / Risks</t>
        </is>
      </c>
      <c r="K6" s="9" t="inlineStr">
        <is>
          <t>Critic Result</t>
        </is>
      </c>
      <c r="L6" s="9" t="inlineStr">
        <is>
          <t>Human Decision</t>
        </is>
      </c>
      <c r="M6" s="9" t="inlineStr">
        <is>
          <t>Decision Owner</t>
        </is>
      </c>
      <c r="N6" s="9" t="inlineStr">
        <is>
          <t>Resolution / Next Action</t>
        </is>
      </c>
      <c r="O6" s="9" t="inlineStr">
        <is>
          <t>Created At</t>
        </is>
      </c>
    </row>
    <row r="7" ht="50" customHeight="1">
      <c r="B7" s="10" t="inlineStr">
        <is>
          <t>AIC-2026-ENERGY-01</t>
        </is>
      </c>
      <c r="C7" s="11" t="inlineStr">
        <is>
          <t>CMP-2026-ENERGY-01</t>
        </is>
      </c>
      <c r="D7" s="12" t="inlineStr">
        <is>
          <t>Research</t>
        </is>
      </c>
      <c r="E7" s="12" t="inlineStr">
        <is>
          <t>Manual web UI — choose approved tool</t>
        </is>
      </c>
      <c r="F7" s="12" t="inlineStr">
        <is>
          <t>v1</t>
        </is>
      </c>
      <c r="G7" s="12" t="inlineStr">
        <is>
          <t>Paste structured AI artifact or Drive/GitHub link here.</t>
        </is>
      </c>
      <c r="H7" s="11" t="n">
        <v>0</v>
      </c>
      <c r="I7" s="12" t="inlineStr">
        <is>
          <t>Pending manual contribution</t>
        </is>
      </c>
      <c r="J7" s="12" t="inlineStr">
        <is>
          <t>Pending critique</t>
        </is>
      </c>
      <c r="K7" s="12" t="inlineStr">
        <is>
          <t>Pending</t>
        </is>
      </c>
      <c r="L7" s="11" t="inlineStr">
        <is>
          <t>Pending</t>
        </is>
      </c>
      <c r="M7" s="11" t="inlineStr">
        <is>
          <t>ZYNTH Decision Owner</t>
        </is>
      </c>
      <c r="N7" s="12" t="inlineStr">
        <is>
          <t>Select: Accept / Revise / Hold / Reject</t>
        </is>
      </c>
      <c r="O7" s="15" t="inlineStr">
        <is>
          <t>2026-08-21 UTC</t>
        </is>
      </c>
    </row>
    <row r="8" ht="50" customHeight="1">
      <c r="B8" s="16" t="inlineStr">
        <is>
          <t>AIC-2026-ENERGY-02</t>
        </is>
      </c>
      <c r="C8" s="17" t="inlineStr">
        <is>
          <t>CMP-2026-ENERGY-02</t>
        </is>
      </c>
      <c r="D8" s="18" t="inlineStr">
        <is>
          <t>Strategy</t>
        </is>
      </c>
      <c r="E8" s="18" t="inlineStr">
        <is>
          <t>Manual web UI — choose approved tool</t>
        </is>
      </c>
      <c r="F8" s="18" t="inlineStr">
        <is>
          <t>v1</t>
        </is>
      </c>
      <c r="G8" s="18" t="inlineStr">
        <is>
          <t>Paste structured AI artifact or Drive/GitHub link here.</t>
        </is>
      </c>
      <c r="H8" s="17" t="n">
        <v>0</v>
      </c>
      <c r="I8" s="18" t="inlineStr">
        <is>
          <t>Pending manual contribution</t>
        </is>
      </c>
      <c r="J8" s="18" t="inlineStr">
        <is>
          <t>Pending critique</t>
        </is>
      </c>
      <c r="K8" s="18" t="inlineStr">
        <is>
          <t>Pending</t>
        </is>
      </c>
      <c r="L8" s="17" t="inlineStr">
        <is>
          <t>Pending</t>
        </is>
      </c>
      <c r="M8" s="17" t="inlineStr">
        <is>
          <t>ZYNTH Decision Owner</t>
        </is>
      </c>
      <c r="N8" s="18" t="inlineStr">
        <is>
          <t>Select: Accept / Revise / Hold / Reject</t>
        </is>
      </c>
      <c r="O8" s="21" t="inlineStr">
        <is>
          <t>2026-08-21 UTC</t>
        </is>
      </c>
    </row>
    <row r="9" ht="50" customHeight="1">
      <c r="B9" s="10" t="inlineStr">
        <is>
          <t>AIC-2026-ENERGY-03</t>
        </is>
      </c>
      <c r="C9" s="11" t="inlineStr">
        <is>
          <t>CMP-2026-ENERGY-03</t>
        </is>
      </c>
      <c r="D9" s="12" t="inlineStr">
        <is>
          <t>Creative</t>
        </is>
      </c>
      <c r="E9" s="12" t="inlineStr">
        <is>
          <t>Manual web UI — choose approved tool</t>
        </is>
      </c>
      <c r="F9" s="12" t="inlineStr">
        <is>
          <t>v1</t>
        </is>
      </c>
      <c r="G9" s="12" t="inlineStr">
        <is>
          <t>Paste structured AI artifact or Drive/GitHub link here.</t>
        </is>
      </c>
      <c r="H9" s="11" t="n">
        <v>0</v>
      </c>
      <c r="I9" s="12" t="inlineStr">
        <is>
          <t>Pending manual contribution</t>
        </is>
      </c>
      <c r="J9" s="12" t="inlineStr">
        <is>
          <t>Pending critique</t>
        </is>
      </c>
      <c r="K9" s="12" t="inlineStr">
        <is>
          <t>Pending</t>
        </is>
      </c>
      <c r="L9" s="11" t="inlineStr">
        <is>
          <t>Pending</t>
        </is>
      </c>
      <c r="M9" s="11" t="inlineStr">
        <is>
          <t>ZYNTH Decision Owner</t>
        </is>
      </c>
      <c r="N9" s="12" t="inlineStr">
        <is>
          <t>Select: Accept / Revise / Hold / Reject</t>
        </is>
      </c>
      <c r="O9" s="15" t="inlineStr">
        <is>
          <t>2026-08-21 UTC</t>
        </is>
      </c>
    </row>
    <row r="10" ht="50" customHeight="1">
      <c r="B10" s="16" t="inlineStr">
        <is>
          <t>AIC-2026-ENERGY-04</t>
        </is>
      </c>
      <c r="C10" s="17" t="inlineStr">
        <is>
          <t>CMP-2026-ENERGY-04</t>
        </is>
      </c>
      <c r="D10" s="18" t="inlineStr">
        <is>
          <t>Production</t>
        </is>
      </c>
      <c r="E10" s="18" t="inlineStr">
        <is>
          <t>Manual web UI — choose approved tool</t>
        </is>
      </c>
      <c r="F10" s="18" t="inlineStr">
        <is>
          <t>v1</t>
        </is>
      </c>
      <c r="G10" s="18" t="inlineStr">
        <is>
          <t>Paste structured AI artifact or Drive/GitHub link here.</t>
        </is>
      </c>
      <c r="H10" s="17" t="n">
        <v>0</v>
      </c>
      <c r="I10" s="18" t="inlineStr">
        <is>
          <t>Pending manual contribution</t>
        </is>
      </c>
      <c r="J10" s="18" t="inlineStr">
        <is>
          <t>Pending critique</t>
        </is>
      </c>
      <c r="K10" s="18" t="inlineStr">
        <is>
          <t>Pending</t>
        </is>
      </c>
      <c r="L10" s="17" t="inlineStr">
        <is>
          <t>Pending</t>
        </is>
      </c>
      <c r="M10" s="17" t="inlineStr">
        <is>
          <t>ZYNTH Decision Owner</t>
        </is>
      </c>
      <c r="N10" s="18" t="inlineStr">
        <is>
          <t>Select: Accept / Revise / Hold / Reject</t>
        </is>
      </c>
      <c r="O10" s="21" t="inlineStr">
        <is>
          <t>2026-08-21 UTC</t>
        </is>
      </c>
    </row>
    <row r="11" ht="50" customHeight="1">
      <c r="B11" s="10" t="inlineStr">
        <is>
          <t>AIC-2026-ENERGY-05</t>
        </is>
      </c>
      <c r="C11" s="11" t="inlineStr">
        <is>
          <t>CMP-2026-ENERGY-05</t>
        </is>
      </c>
      <c r="D11" s="12" t="inlineStr">
        <is>
          <t>Critic</t>
        </is>
      </c>
      <c r="E11" s="12" t="inlineStr">
        <is>
          <t>Manual web UI — choose approved tool</t>
        </is>
      </c>
      <c r="F11" s="12" t="inlineStr">
        <is>
          <t>v1</t>
        </is>
      </c>
      <c r="G11" s="12" t="inlineStr">
        <is>
          <t>Paste structured AI artifact or Drive/GitHub link here.</t>
        </is>
      </c>
      <c r="H11" s="11" t="n">
        <v>0</v>
      </c>
      <c r="I11" s="12" t="inlineStr">
        <is>
          <t>Pending manual contribution</t>
        </is>
      </c>
      <c r="J11" s="12" t="inlineStr">
        <is>
          <t>Pending critique</t>
        </is>
      </c>
      <c r="K11" s="12" t="inlineStr">
        <is>
          <t>Pending</t>
        </is>
      </c>
      <c r="L11" s="11" t="inlineStr">
        <is>
          <t>Pending</t>
        </is>
      </c>
      <c r="M11" s="11" t="inlineStr">
        <is>
          <t>ZYNTH Decision Owner</t>
        </is>
      </c>
      <c r="N11" s="12" t="inlineStr">
        <is>
          <t>Select: Accept / Revise / Hold / Reject</t>
        </is>
      </c>
      <c r="O11" s="15" t="inlineStr">
        <is>
          <t>2026-08-21 UTC</t>
        </is>
      </c>
    </row>
    <row r="12" ht="50" customHeight="1">
      <c r="B12" s="16" t="inlineStr">
        <is>
          <t>AIC-2026-ENERGY-06</t>
        </is>
      </c>
      <c r="C12" s="17" t="inlineStr">
        <is>
          <t>CMP-2026-ENERGY-06</t>
        </is>
      </c>
      <c r="D12" s="18" t="inlineStr">
        <is>
          <t>Research</t>
        </is>
      </c>
      <c r="E12" s="18" t="inlineStr">
        <is>
          <t>Manual web UI — choose approved tool</t>
        </is>
      </c>
      <c r="F12" s="18" t="inlineStr">
        <is>
          <t>v1</t>
        </is>
      </c>
      <c r="G12" s="18" t="inlineStr">
        <is>
          <t>Paste structured AI artifact or Drive/GitHub link here.</t>
        </is>
      </c>
      <c r="H12" s="17" t="n">
        <v>0</v>
      </c>
      <c r="I12" s="18" t="inlineStr">
        <is>
          <t>Pending manual contribution</t>
        </is>
      </c>
      <c r="J12" s="18" t="inlineStr">
        <is>
          <t>Pending critique</t>
        </is>
      </c>
      <c r="K12" s="18" t="inlineStr">
        <is>
          <t>Pending</t>
        </is>
      </c>
      <c r="L12" s="17" t="inlineStr">
        <is>
          <t>Pending</t>
        </is>
      </c>
      <c r="M12" s="17" t="inlineStr">
        <is>
          <t>ZYNTH Decision Owner</t>
        </is>
      </c>
      <c r="N12" s="18" t="inlineStr">
        <is>
          <t>Select: Accept / Revise / Hold / Reject</t>
        </is>
      </c>
      <c r="O12" s="21" t="inlineStr">
        <is>
          <t>2026-08-21 UTC</t>
        </is>
      </c>
    </row>
    <row r="13" ht="50" customHeight="1">
      <c r="B13" s="10" t="inlineStr">
        <is>
          <t>AIC-2026-ENERGY-07</t>
        </is>
      </c>
      <c r="C13" s="11" t="inlineStr">
        <is>
          <t>CMP-2026-ENERGY-07</t>
        </is>
      </c>
      <c r="D13" s="12" t="inlineStr">
        <is>
          <t>Strategy</t>
        </is>
      </c>
      <c r="E13" s="12" t="inlineStr">
        <is>
          <t>Manual web UI — choose approved tool</t>
        </is>
      </c>
      <c r="F13" s="12" t="inlineStr">
        <is>
          <t>v1</t>
        </is>
      </c>
      <c r="G13" s="12" t="inlineStr">
        <is>
          <t>Paste structured AI artifact or Drive/GitHub link here.</t>
        </is>
      </c>
      <c r="H13" s="11" t="n">
        <v>0</v>
      </c>
      <c r="I13" s="12" t="inlineStr">
        <is>
          <t>Pending manual contribution</t>
        </is>
      </c>
      <c r="J13" s="12" t="inlineStr">
        <is>
          <t>Pending critique</t>
        </is>
      </c>
      <c r="K13" s="12" t="inlineStr">
        <is>
          <t>Pending</t>
        </is>
      </c>
      <c r="L13" s="11" t="inlineStr">
        <is>
          <t>Pending</t>
        </is>
      </c>
      <c r="M13" s="11" t="inlineStr">
        <is>
          <t>ZYNTH Decision Owner</t>
        </is>
      </c>
      <c r="N13" s="12" t="inlineStr">
        <is>
          <t>Select: Accept / Revise / Hold / Reject</t>
        </is>
      </c>
      <c r="O13" s="15" t="inlineStr">
        <is>
          <t>2026-08-21 UTC</t>
        </is>
      </c>
    </row>
    <row r="14" ht="50" customHeight="1">
      <c r="B14" s="16" t="inlineStr">
        <is>
          <t>AIC-2026-ENERGY-08</t>
        </is>
      </c>
      <c r="C14" s="17" t="inlineStr">
        <is>
          <t>CMP-2026-ENERGY-08</t>
        </is>
      </c>
      <c r="D14" s="18" t="inlineStr">
        <is>
          <t>Creative</t>
        </is>
      </c>
      <c r="E14" s="18" t="inlineStr">
        <is>
          <t>Manual web UI — choose approved tool</t>
        </is>
      </c>
      <c r="F14" s="18" t="inlineStr">
        <is>
          <t>v1</t>
        </is>
      </c>
      <c r="G14" s="18" t="inlineStr">
        <is>
          <t>Paste structured AI artifact or Drive/GitHub link here.</t>
        </is>
      </c>
      <c r="H14" s="17" t="n">
        <v>0</v>
      </c>
      <c r="I14" s="18" t="inlineStr">
        <is>
          <t>Pending manual contribution</t>
        </is>
      </c>
      <c r="J14" s="18" t="inlineStr">
        <is>
          <t>Pending critique</t>
        </is>
      </c>
      <c r="K14" s="18" t="inlineStr">
        <is>
          <t>Pending</t>
        </is>
      </c>
      <c r="L14" s="17" t="inlineStr">
        <is>
          <t>Pending</t>
        </is>
      </c>
      <c r="M14" s="17" t="inlineStr">
        <is>
          <t>ZYNTH Decision Owner</t>
        </is>
      </c>
      <c r="N14" s="18" t="inlineStr">
        <is>
          <t>Select: Accept / Revise / Hold / Reject</t>
        </is>
      </c>
      <c r="O14" s="21" t="inlineStr">
        <is>
          <t>2026-08-21 UTC</t>
        </is>
      </c>
    </row>
    <row r="15" ht="50" customHeight="1">
      <c r="B15" s="10" t="inlineStr">
        <is>
          <t>AIC-2026-ENERGY-09</t>
        </is>
      </c>
      <c r="C15" s="11" t="inlineStr">
        <is>
          <t>CMP-2026-ENERGY-09</t>
        </is>
      </c>
      <c r="D15" s="12" t="inlineStr">
        <is>
          <t>Production</t>
        </is>
      </c>
      <c r="E15" s="12" t="inlineStr">
        <is>
          <t>Manual web UI — choose approved tool</t>
        </is>
      </c>
      <c r="F15" s="12" t="inlineStr">
        <is>
          <t>v1</t>
        </is>
      </c>
      <c r="G15" s="12" t="inlineStr">
        <is>
          <t>Paste structured AI artifact or Drive/GitHub link here.</t>
        </is>
      </c>
      <c r="H15" s="11" t="n">
        <v>0</v>
      </c>
      <c r="I15" s="12" t="inlineStr">
        <is>
          <t>Pending manual contribution</t>
        </is>
      </c>
      <c r="J15" s="12" t="inlineStr">
        <is>
          <t>Pending critique</t>
        </is>
      </c>
      <c r="K15" s="12" t="inlineStr">
        <is>
          <t>Pending</t>
        </is>
      </c>
      <c r="L15" s="11" t="inlineStr">
        <is>
          <t>Pending</t>
        </is>
      </c>
      <c r="M15" s="11" t="inlineStr">
        <is>
          <t>ZYNTH Decision Owner</t>
        </is>
      </c>
      <c r="N15" s="12" t="inlineStr">
        <is>
          <t>Select: Accept / Revise / Hold / Reject</t>
        </is>
      </c>
      <c r="O15" s="15" t="inlineStr">
        <is>
          <t>2026-08-21 UTC</t>
        </is>
      </c>
    </row>
    <row r="16" ht="50" customHeight="1">
      <c r="B16" s="16" t="inlineStr">
        <is>
          <t>AIC-2026-ENERGY-10</t>
        </is>
      </c>
      <c r="C16" s="17" t="inlineStr">
        <is>
          <t>CMP-2026-ENERGY-10</t>
        </is>
      </c>
      <c r="D16" s="18" t="inlineStr">
        <is>
          <t>Critic</t>
        </is>
      </c>
      <c r="E16" s="18" t="inlineStr">
        <is>
          <t>Manual web UI — choose approved tool</t>
        </is>
      </c>
      <c r="F16" s="18" t="inlineStr">
        <is>
          <t>v1</t>
        </is>
      </c>
      <c r="G16" s="18" t="inlineStr">
        <is>
          <t>Paste structured AI artifact or Drive/GitHub link here.</t>
        </is>
      </c>
      <c r="H16" s="17" t="n">
        <v>0</v>
      </c>
      <c r="I16" s="18" t="inlineStr">
        <is>
          <t>Pending manual contribution</t>
        </is>
      </c>
      <c r="J16" s="18" t="inlineStr">
        <is>
          <t>Pending critique</t>
        </is>
      </c>
      <c r="K16" s="18" t="inlineStr">
        <is>
          <t>Pending</t>
        </is>
      </c>
      <c r="L16" s="17" t="inlineStr">
        <is>
          <t>Pending</t>
        </is>
      </c>
      <c r="M16" s="17" t="inlineStr">
        <is>
          <t>ZYNTH Decision Owner</t>
        </is>
      </c>
      <c r="N16" s="18" t="inlineStr">
        <is>
          <t>Select: Accept / Revise / Hold / Reject</t>
        </is>
      </c>
      <c r="O16" s="21" t="inlineStr">
        <is>
          <t>2026-08-21 UTC</t>
        </is>
      </c>
    </row>
  </sheetData>
  <autoFilter ref="B6:O16"/>
  <mergeCells count="3">
    <mergeCell ref="B2:Q2"/>
    <mergeCell ref="B3:Q3"/>
    <mergeCell ref="B5:Q5"/>
  </mergeCells>
  <dataValidations count="2">
    <dataValidation sqref="K7:K500" showDropDown="0" showInputMessage="0" showErrorMessage="0" allowBlank="1" errorTitle="Controlled field" error="Please use the approved list value." type="list">
      <formula1>='Learning &amp; Guide'!$U$2:$U$6</formula1>
    </dataValidation>
    <dataValidation sqref="L7:L500" showDropDown="0" showInputMessage="0" showErrorMessage="0" allowBlank="1" errorTitle="Controlled field" error="Please use the approved list value." type="list">
      <formula1>='Learning &amp; Guide'!$U$2:$U$6</formula1>
    </dataValidation>
  </dataValidations>
  <pageMargins left="0.75" right="0.75" top="1" bottom="1" header="0.5" footer="0.5"/>
  <headerFooter>
    <oddHeader/>
    <oddFooter>&amp;C&amp;8 ZYNTH Master Tracker | Zero-cost-first | Generated 2026-08-21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A5F5F"/>
    <outlinePr summaryBelow="1" summaryRight="1"/>
    <pageSetUpPr/>
  </sheetPr>
  <dimension ref="B2:R1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14" customWidth="1" min="4" max="4"/>
    <col width="22" customWidth="1" min="5" max="5"/>
    <col width="45" customWidth="1" min="6" max="6"/>
    <col width="24" customWidth="1" min="7" max="7"/>
    <col width="15" customWidth="1" min="8" max="8"/>
    <col width="14" customWidth="1" min="9" max="9"/>
    <col width="36" customWidth="1" min="10" max="10"/>
    <col width="22" customWidth="1" min="11" max="11"/>
    <col width="36" customWidth="1" min="12" max="12"/>
    <col width="28" customWidth="1" min="13" max="13"/>
    <col width="18" customWidth="1" min="14" max="14"/>
  </cols>
  <sheetData>
    <row r="2" ht="30" customHeight="1">
      <c r="B2" s="1" t="inlineStr">
        <is>
          <t>Operations — Tasks, Approvals, Budget &amp; Exceptions</t>
        </is>
      </c>
    </row>
    <row r="3" ht="26" customHeight="1">
      <c r="B3" s="2" t="inlineStr">
        <is>
          <t>Use this tab for G0–G7 decisions, accountable owners, blockers and approved changes. No external action proceeds without a named human decision.</t>
        </is>
      </c>
    </row>
    <row r="5" ht="23" customHeight="1">
      <c r="B5" s="3" t="inlineStr">
        <is>
          <t>TASKS &amp; APPROVALS</t>
        </is>
      </c>
    </row>
    <row r="6" ht="36" customHeight="1">
      <c r="B6" s="9" t="inlineStr">
        <is>
          <t>Task / Approval ID</t>
        </is>
      </c>
      <c r="C6" s="9" t="inlineStr">
        <is>
          <t>Record ID</t>
        </is>
      </c>
      <c r="D6" s="9" t="inlineStr">
        <is>
          <t>Type</t>
        </is>
      </c>
      <c r="E6" s="9" t="inlineStr">
        <is>
          <t>Gate</t>
        </is>
      </c>
      <c r="F6" s="9" t="inlineStr">
        <is>
          <t>Task / Decision</t>
        </is>
      </c>
      <c r="G6" s="9" t="inlineStr">
        <is>
          <t>Accountable Owner</t>
        </is>
      </c>
      <c r="H6" s="9" t="inlineStr">
        <is>
          <t>Due Date</t>
        </is>
      </c>
      <c r="I6" s="9" t="inlineStr">
        <is>
          <t>Priority</t>
        </is>
      </c>
      <c r="J6" s="9" t="inlineStr">
        <is>
          <t>Dependency / Risk</t>
        </is>
      </c>
      <c r="K6" s="9" t="inlineStr">
        <is>
          <t>Status</t>
        </is>
      </c>
      <c r="L6" s="9" t="inlineStr">
        <is>
          <t>Decision / Condition</t>
        </is>
      </c>
      <c r="M6" s="9" t="inlineStr">
        <is>
          <t>Evidence / Asset Link</t>
        </is>
      </c>
      <c r="N6" s="9" t="inlineStr">
        <is>
          <t>Last Updated</t>
        </is>
      </c>
    </row>
    <row r="7" ht="50" customHeight="1">
      <c r="B7" s="10" t="inlineStr">
        <is>
          <t>TSK-2026-001</t>
        </is>
      </c>
      <c r="C7" s="11" t="inlineStr">
        <is>
          <t>CMP-2026-ENERGY-01</t>
        </is>
      </c>
      <c r="D7" s="12" t="inlineStr">
        <is>
          <t>Task</t>
        </is>
      </c>
      <c r="E7" s="11" t="inlineStr">
        <is>
          <t>G3 Creative Selected</t>
        </is>
      </c>
      <c r="F7" s="12" t="inlineStr">
        <is>
          <t>Select campaign route for first pilot</t>
        </is>
      </c>
      <c r="G7" s="12" t="inlineStr">
        <is>
          <t>User / Final Approver</t>
        </is>
      </c>
      <c r="H7" s="11" t="inlineStr">
        <is>
          <t>TBC</t>
        </is>
      </c>
      <c r="I7" s="11" t="inlineStr">
        <is>
          <t>High</t>
        </is>
      </c>
      <c r="J7" s="12" t="inlineStr">
        <is>
          <t>Client brief confirmation</t>
        </is>
      </c>
      <c r="K7" s="11" t="inlineStr">
        <is>
          <t>Needs Human Decision</t>
        </is>
      </c>
      <c r="L7" s="12" t="inlineStr">
        <is>
          <t>TBC</t>
        </is>
      </c>
      <c r="M7" s="12" t="inlineStr">
        <is>
          <t>Batch proposal</t>
        </is>
      </c>
      <c r="N7" s="23" t="inlineStr">
        <is>
          <t>2026-08-21 UTC</t>
        </is>
      </c>
    </row>
    <row r="8" ht="50" customHeight="1">
      <c r="B8" s="16" t="inlineStr">
        <is>
          <t>TSK-2026-002</t>
        </is>
      </c>
      <c r="C8" s="17" t="inlineStr">
        <is>
          <t>COM-2026-ENERGY-01</t>
        </is>
      </c>
      <c r="D8" s="18" t="inlineStr">
        <is>
          <t>Task</t>
        </is>
      </c>
      <c r="E8" s="17" t="inlineStr">
        <is>
          <t>G3 Creative Selected</t>
        </is>
      </c>
      <c r="F8" s="18" t="inlineStr">
        <is>
          <t>Create 12-frame detailed storyboard</t>
        </is>
      </c>
      <c r="G8" s="18" t="inlineStr">
        <is>
          <t>ZYNTH Creative Lead</t>
        </is>
      </c>
      <c r="H8" s="17" t="inlineStr">
        <is>
          <t>TBC</t>
        </is>
      </c>
      <c r="I8" s="17" t="inlineStr">
        <is>
          <t>High</t>
        </is>
      </c>
      <c r="J8" s="18" t="inlineStr">
        <is>
          <t>Creative territory selection</t>
        </is>
      </c>
      <c r="K8" s="17" t="inlineStr">
        <is>
          <t>Draft</t>
        </is>
      </c>
      <c r="L8" s="18" t="inlineStr">
        <is>
          <t>TBC</t>
        </is>
      </c>
      <c r="M8" s="18" t="inlineStr">
        <is>
          <t>Batch treatment</t>
        </is>
      </c>
      <c r="N8" s="24" t="inlineStr">
        <is>
          <t>2026-08-21 UTC</t>
        </is>
      </c>
    </row>
    <row r="9" ht="50" customHeight="1">
      <c r="B9" s="10" t="inlineStr">
        <is>
          <t>APR-2026-001</t>
        </is>
      </c>
      <c r="C9" s="11" t="inlineStr">
        <is>
          <t>CMP-2026-ENERGY-01</t>
        </is>
      </c>
      <c r="D9" s="12" t="inlineStr">
        <is>
          <t>Approval</t>
        </is>
      </c>
      <c r="E9" s="11" t="inlineStr">
        <is>
          <t>G4 Feasibility Cleared</t>
        </is>
      </c>
      <c r="F9" s="12" t="inlineStr">
        <is>
          <t>Approve claims / data / rights review before execution</t>
        </is>
      </c>
      <c r="G9" s="12" t="inlineStr">
        <is>
          <t>Client approver</t>
        </is>
      </c>
      <c r="H9" s="11" t="inlineStr">
        <is>
          <t>TBC</t>
        </is>
      </c>
      <c r="I9" s="11" t="inlineStr">
        <is>
          <t>Critical</t>
        </is>
      </c>
      <c r="J9" s="12" t="inlineStr">
        <is>
          <t>Evidence, legal, privacy and safety review</t>
        </is>
      </c>
      <c r="K9" s="11" t="inlineStr">
        <is>
          <t>Needs Human Decision</t>
        </is>
      </c>
      <c r="L9" s="12" t="inlineStr">
        <is>
          <t>TBC</t>
        </is>
      </c>
      <c r="M9" s="12" t="inlineStr">
        <is>
          <t>Research register</t>
        </is>
      </c>
      <c r="N9" s="23" t="inlineStr">
        <is>
          <t>2026-08-21 UTC</t>
        </is>
      </c>
    </row>
    <row r="10" ht="50" customHeight="1">
      <c r="B10" s="16" t="inlineStr">
        <is>
          <t>TSK-2026-003</t>
        </is>
      </c>
      <c r="C10" s="17" t="inlineStr">
        <is>
          <t>CMP-2026-ENERGY-08</t>
        </is>
      </c>
      <c r="D10" s="18" t="inlineStr">
        <is>
          <t>Task</t>
        </is>
      </c>
      <c r="E10" s="17" t="inlineStr">
        <is>
          <t>G2 Strategy Selected</t>
        </is>
      </c>
      <c r="F10" s="18" t="inlineStr">
        <is>
          <t>Confirm consent language and destination experience</t>
        </is>
      </c>
      <c r="G10" s="18" t="inlineStr">
        <is>
          <t>Client data owner</t>
        </is>
      </c>
      <c r="H10" s="17" t="inlineStr">
        <is>
          <t>TBC</t>
        </is>
      </c>
      <c r="I10" s="17" t="inlineStr">
        <is>
          <t>Critical</t>
        </is>
      </c>
      <c r="J10" s="18" t="inlineStr">
        <is>
          <t>Data/privacy policy</t>
        </is>
      </c>
      <c r="K10" s="17" t="inlineStr">
        <is>
          <t>Draft</t>
        </is>
      </c>
      <c r="L10" s="18" t="inlineStr">
        <is>
          <t>TBC</t>
        </is>
      </c>
      <c r="M10" s="18" t="inlineStr">
        <is>
          <t>Proposal 08</t>
        </is>
      </c>
      <c r="N10" s="24" t="inlineStr">
        <is>
          <t>2026-08-21 UTC</t>
        </is>
      </c>
    </row>
    <row r="11" ht="50" customHeight="1">
      <c r="B11" s="10" t="inlineStr">
        <is>
          <t>TSK-2026-004</t>
        </is>
      </c>
      <c r="C11" s="11" t="inlineStr">
        <is>
          <t>COM-2026-ENERGY-08</t>
        </is>
      </c>
      <c r="D11" s="12" t="inlineStr">
        <is>
          <t>Task</t>
        </is>
      </c>
      <c r="E11" s="11" t="inlineStr">
        <is>
          <t>G4 Feasibility Cleared</t>
        </is>
      </c>
      <c r="F11" s="12" t="inlineStr">
        <is>
          <t>Define production scope, cutdowns and usage rights</t>
        </is>
      </c>
      <c r="G11" s="12" t="inlineStr">
        <is>
          <t>ZYNTH Production Lead</t>
        </is>
      </c>
      <c r="H11" s="11" t="inlineStr">
        <is>
          <t>TBC</t>
        </is>
      </c>
      <c r="I11" s="11" t="inlineStr">
        <is>
          <t>High</t>
        </is>
      </c>
      <c r="J11" s="12" t="inlineStr">
        <is>
          <t>Script and budget approval</t>
        </is>
      </c>
      <c r="K11" s="11" t="inlineStr">
        <is>
          <t>Draft</t>
        </is>
      </c>
      <c r="L11" s="12" t="inlineStr">
        <is>
          <t>TBC</t>
        </is>
      </c>
      <c r="M11" s="12" t="inlineStr">
        <is>
          <t>Commercial seed</t>
        </is>
      </c>
      <c r="N11" s="23" t="inlineStr">
        <is>
          <t>2026-08-21 UTC</t>
        </is>
      </c>
    </row>
    <row r="12" ht="50" customHeight="1">
      <c r="B12" s="16" t="inlineStr">
        <is>
          <t>TSK-2026-005</t>
        </is>
      </c>
      <c r="C12" s="17" t="inlineStr">
        <is>
          <t>SYSTEM-ZYNTH</t>
        </is>
      </c>
      <c r="D12" s="18" t="inlineStr">
        <is>
          <t>Task</t>
        </is>
      </c>
      <c r="E12" s="17" t="inlineStr">
        <is>
          <t>G0 Brief Accepted</t>
        </is>
      </c>
      <c r="F12" s="18" t="inlineStr">
        <is>
          <t>Upload this tracker to Drive; assign one data owner</t>
        </is>
      </c>
      <c r="G12" s="18" t="inlineStr">
        <is>
          <t>User / Data Owner</t>
        </is>
      </c>
      <c r="H12" s="17" t="inlineStr">
        <is>
          <t>TBC</t>
        </is>
      </c>
      <c r="I12" s="17" t="inlineStr">
        <is>
          <t>High</t>
        </is>
      </c>
      <c r="J12" s="18" t="inlineStr">
        <is>
          <t>Master file owner</t>
        </is>
      </c>
      <c r="K12" s="17" t="inlineStr">
        <is>
          <t>Draft</t>
        </is>
      </c>
      <c r="L12" s="18" t="inlineStr">
        <is>
          <t>TBC</t>
        </is>
      </c>
      <c r="M12" s="18" t="inlineStr">
        <is>
          <t>This workbook</t>
        </is>
      </c>
      <c r="N12" s="24" t="inlineStr">
        <is>
          <t>2026-08-21 UTC</t>
        </is>
      </c>
    </row>
  </sheetData>
  <autoFilter ref="B6:N12"/>
  <mergeCells count="3">
    <mergeCell ref="B5:R5"/>
    <mergeCell ref="B2:R2"/>
    <mergeCell ref="B3:R3"/>
  </mergeCells>
  <conditionalFormatting sqref="K7:K500">
    <cfRule type="expression" priority="1" dxfId="0">
      <formula>K7="Needs Human Decision"</formula>
    </cfRule>
    <cfRule type="expression" priority="2" dxfId="1">
      <formula>K7="Approved"</formula>
    </cfRule>
    <cfRule type="expression" priority="3" dxfId="2">
      <formula>K7="Live"</formula>
    </cfRule>
  </conditionalFormatting>
  <dataValidations count="2">
    <dataValidation sqref="K7:K500" showDropDown="0" showInputMessage="0" showErrorMessage="0" allowBlank="1" errorTitle="Controlled field" error="Please use the approved list value." type="list">
      <formula1>='Learning &amp; Guide'!$R$2:$R$9</formula1>
    </dataValidation>
    <dataValidation sqref="I7:I500" showDropDown="0" showInputMessage="0" showErrorMessage="0" allowBlank="1" errorTitle="Controlled field" error="Please use the approved list value." type="list">
      <formula1>='Learning &amp; Guide'!$V$2:$V$5</formula1>
    </dataValidation>
  </dataValidations>
  <pageMargins left="0.75" right="0.75" top="1" bottom="1" header="0.5" footer="0.5"/>
  <headerFooter>
    <oddHeader/>
    <oddFooter>&amp;C&amp;8 ZYNTH Master Tracker | Zero-cost-first | Generated 2026-08-21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4A235A"/>
    <outlinePr summaryBelow="1" summaryRight="1"/>
    <pageSetUpPr/>
  </sheetPr>
  <dimension ref="B1:V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6" customWidth="1" min="3" max="3"/>
    <col width="78" customWidth="1" min="4" max="4"/>
    <col width="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>
      <c r="R1" t="inlineStr">
        <is>
          <t>Status</t>
        </is>
      </c>
      <c r="S1" t="inlineStr">
        <is>
          <t>Stage</t>
        </is>
      </c>
      <c r="T1" t="inlineStr">
        <is>
          <t>Confidence</t>
        </is>
      </c>
      <c r="U1" t="inlineStr">
        <is>
          <t>Decision</t>
        </is>
      </c>
      <c r="V1" t="inlineStr">
        <is>
          <t>Priority</t>
        </is>
      </c>
    </row>
    <row r="2" ht="30" customHeight="1">
      <c r="B2" s="1" t="inlineStr">
        <is>
          <t>ZYNTH Master Tracker — အသုံးပြုနည်းနှင့် Learning Library</t>
        </is>
      </c>
      <c r="R2" t="inlineStr">
        <is>
          <t>Draft</t>
        </is>
      </c>
      <c r="S2" t="inlineStr">
        <is>
          <t>G0 Brief Accepted</t>
        </is>
      </c>
      <c r="T2" t="inlineStr">
        <is>
          <t>High</t>
        </is>
      </c>
      <c r="U2" t="inlineStr">
        <is>
          <t>Pending</t>
        </is>
      </c>
      <c r="V2" t="inlineStr">
        <is>
          <t>Critical</t>
        </is>
      </c>
    </row>
    <row r="3" ht="26" customHeight="1">
      <c r="B3" s="2" t="inlineStr">
        <is>
          <t>ဒီ file တစ်ခုတည်းကို အမြဲ update လုပ်ပါ။ Proposal အသစ်တိုင်းအတွက် workbook အသစ်မဖန်တီးပါနှင့်။ API မလိုပါ။</t>
        </is>
      </c>
      <c r="R3" t="inlineStr">
        <is>
          <t>In Review</t>
        </is>
      </c>
      <c r="S3" t="inlineStr">
        <is>
          <t>G1 Research Cleared</t>
        </is>
      </c>
      <c r="T3" t="inlineStr">
        <is>
          <t>Medium</t>
        </is>
      </c>
      <c r="U3" t="inlineStr">
        <is>
          <t>Accept</t>
        </is>
      </c>
      <c r="V3" t="inlineStr">
        <is>
          <t>High</t>
        </is>
      </c>
    </row>
    <row r="4">
      <c r="R4" t="inlineStr">
        <is>
          <t>Needs Human Decision</t>
        </is>
      </c>
      <c r="S4" t="inlineStr">
        <is>
          <t>G2 Strategy Selected</t>
        </is>
      </c>
      <c r="T4" t="inlineStr">
        <is>
          <t>Low</t>
        </is>
      </c>
      <c r="U4" t="inlineStr">
        <is>
          <t>Revise</t>
        </is>
      </c>
      <c r="V4" t="inlineStr">
        <is>
          <t>Medium</t>
        </is>
      </c>
    </row>
    <row r="5" ht="23" customHeight="1">
      <c r="B5" s="3" t="inlineStr">
        <is>
          <t>START HERE — 7-STEP UPDATE ROUTINE</t>
        </is>
      </c>
      <c r="R5" t="inlineStr">
        <is>
          <t>Approved</t>
        </is>
      </c>
      <c r="S5" t="inlineStr">
        <is>
          <t>G3 Creative Selected</t>
        </is>
      </c>
      <c r="T5" t="inlineStr">
        <is>
          <t>Needs review</t>
        </is>
      </c>
      <c r="U5" t="inlineStr">
        <is>
          <t>Hold</t>
        </is>
      </c>
      <c r="V5" t="inlineStr">
        <is>
          <t>Low</t>
        </is>
      </c>
    </row>
    <row r="6" ht="36" customHeight="1">
      <c r="B6" s="9" t="inlineStr">
        <is>
          <t>Step</t>
        </is>
      </c>
      <c r="C6" s="9" t="inlineStr">
        <is>
          <t>ဘာလုပ်မလဲ</t>
        </is>
      </c>
      <c r="D6" s="9" t="inlineStr">
        <is>
          <t>ဘာကြောင့်အရေးကြီးလဲ</t>
        </is>
      </c>
      <c r="R6" t="inlineStr">
        <is>
          <t>On Hold</t>
        </is>
      </c>
      <c r="S6" t="inlineStr">
        <is>
          <t>G4 Feasibility Cleared</t>
        </is>
      </c>
      <c r="U6" t="inlineStr">
        <is>
          <t>Reject</t>
        </is>
      </c>
    </row>
    <row r="7" ht="38" customHeight="1">
      <c r="B7" s="10" t="inlineStr">
        <is>
          <t>1</t>
        </is>
      </c>
      <c r="C7" s="12" t="inlineStr">
        <is>
          <t>Campaign / Commercial ID အသစ်သတ်မှတ်ပါ</t>
        </is>
      </c>
      <c r="D7" s="15" t="inlineStr">
        <is>
          <t>ဥပမာ CMP-2026-ENERGY-011 သို့မဟုတ် COM-2026-ENERGY-011။ ID ကို မပြောင်းပါနှင့်။</t>
        </is>
      </c>
      <c r="R7" t="inlineStr">
        <is>
          <t>Live</t>
        </is>
      </c>
      <c r="S7" t="inlineStr">
        <is>
          <t>G5 Go / No-go</t>
        </is>
      </c>
    </row>
    <row r="8" ht="38" customHeight="1">
      <c r="B8" s="16" t="inlineStr">
        <is>
          <t>2</t>
        </is>
      </c>
      <c r="C8" s="18" t="inlineStr">
        <is>
          <t>Research &amp; Sources တွင် source/claim ကိုအရင်မှတ်တမ်းတင်ပါ</t>
        </is>
      </c>
      <c r="D8" s="21" t="inlineStr">
        <is>
          <t>Claim, URL, access date, limitation နှင့် confidence ကိုထည့်ပါ။</t>
        </is>
      </c>
      <c r="R8" t="inlineStr">
        <is>
          <t>Closed</t>
        </is>
      </c>
      <c r="S8" t="inlineStr">
        <is>
          <t>G6 Live Optimisation</t>
        </is>
      </c>
    </row>
    <row r="9" ht="38" customHeight="1">
      <c r="B9" s="10" t="inlineStr">
        <is>
          <t>3</t>
        </is>
      </c>
      <c r="C9" s="12" t="inlineStr">
        <is>
          <t>Campaigns နှင့် Commercials တွင် row အသစ်ထည့်ပါ</t>
        </is>
      </c>
      <c r="D9" s="15" t="inlineStr">
        <is>
          <t>Campaign 10 ခုနှင့် standalone commercial/storyboard 10 ခုကို သီးခြားနံပါတ်ပေးပါ။</t>
        </is>
      </c>
      <c r="R9" t="inlineStr">
        <is>
          <t>Failed</t>
        </is>
      </c>
      <c r="S9" t="inlineStr">
        <is>
          <t>G7 Learn &amp; Archive</t>
        </is>
      </c>
    </row>
    <row r="10" ht="38" customHeight="1">
      <c r="B10" s="16" t="inlineStr">
        <is>
          <t>4</t>
        </is>
      </c>
      <c r="C10" s="18" t="inlineStr">
        <is>
          <t>Manual AI Council packet ကို paste လုပ်ပါ</t>
        </is>
      </c>
      <c r="D10" s="21" t="inlineStr">
        <is>
          <t>AI web interface တိုင်းသို့ canonical brief တစ်ခုတည်းပို့ပြီး structured output ကို AI Council tab တွင်ထည့်ပါ။</t>
        </is>
      </c>
    </row>
    <row r="11" ht="38" customHeight="1">
      <c r="B11" s="10" t="inlineStr">
        <is>
          <t>5</t>
        </is>
      </c>
      <c r="C11" s="12" t="inlineStr">
        <is>
          <t>G0–G7 gate နှင့် approval ကို Ops tab တွင်ပြောင်းပါ</t>
        </is>
      </c>
      <c r="D11" s="15" t="inlineStr">
        <is>
          <t>Status dropdown ကိုသာအသုံးပြုပါ။ Free-text status မရေးပါနှင့်။</t>
        </is>
      </c>
    </row>
    <row r="12" ht="38" customHeight="1">
      <c r="B12" s="16" t="inlineStr">
        <is>
          <t>6</t>
        </is>
      </c>
      <c r="C12" s="18" t="inlineStr">
        <is>
          <t>Artifact link ကို update လုပ်ပါ</t>
        </is>
      </c>
      <c r="D12" s="21" t="inlineStr">
        <is>
          <t>Drive/GitHub မှ latest proposal, treatment, storyboard ကို link ချိတ်ပါ။ Current Version ကို material change တစ်ခုစီတိုင်းတိုးပါ။</t>
        </is>
      </c>
    </row>
    <row r="13" ht="38" customHeight="1">
      <c r="B13" s="10" t="inlineStr">
        <is>
          <t>7</t>
        </is>
      </c>
      <c r="C13" s="12" t="inlineStr">
        <is>
          <t>Overview နှင့် Looker Studio ကိုစစ်ပါ</t>
        </is>
      </c>
      <c r="D13" s="15" t="inlineStr">
        <is>
          <t>Sheet ကို Google Sheets သို့တင်ပြီး Looker Studio ကို Overview-ready tab များနှင့်ချိတ်ပါ။</t>
        </is>
      </c>
    </row>
    <row r="16" ht="23" customHeight="1">
      <c r="B16" s="8" t="inlineStr">
        <is>
          <t>THE 10 QUESTIONS TO ASK OF ANY PROPOSAL</t>
        </is>
      </c>
    </row>
    <row r="17" ht="36" customHeight="1">
      <c r="B17" s="9" t="inlineStr">
        <is>
          <t>#</t>
        </is>
      </c>
      <c r="C17" s="9" t="inlineStr">
        <is>
          <t>Review question</t>
        </is>
      </c>
    </row>
    <row r="18" ht="38" customHeight="1">
      <c r="B18" s="10" t="n">
        <v>1</v>
      </c>
      <c r="C18" s="15" t="inlineStr">
        <is>
          <t>What human/commercial tension is actually being solved?</t>
        </is>
      </c>
    </row>
    <row r="19" ht="38" customHeight="1">
      <c r="B19" s="16" t="n">
        <v>2</v>
      </c>
      <c r="C19" s="21" t="inlineStr">
        <is>
          <t>Which audience is most likely to change behaviour, and what evidence supports that?</t>
        </is>
      </c>
    </row>
    <row r="20" ht="38" customHeight="1">
      <c r="B20" s="10" t="n">
        <v>3</v>
      </c>
      <c r="C20" s="15" t="inlineStr">
        <is>
          <t>What is the one behaviour or decision we want next?</t>
        </is>
      </c>
    </row>
    <row r="21" ht="38" customHeight="1">
      <c r="B21" s="16" t="n">
        <v>4</v>
      </c>
      <c r="C21" s="21" t="inlineStr">
        <is>
          <t>Is the conversion mechanism realistic and consented?</t>
        </is>
      </c>
    </row>
    <row r="22" ht="38" customHeight="1">
      <c r="B22" s="10" t="n">
        <v>5</v>
      </c>
      <c r="C22" s="15" t="inlineStr">
        <is>
          <t>Which assertions are facts, which are assumptions, and which are proposed/TBC?</t>
        </is>
      </c>
    </row>
    <row r="23" ht="38" customHeight="1">
      <c r="B23" s="16" t="n">
        <v>6</v>
      </c>
      <c r="C23" s="21" t="inlineStr">
        <is>
          <t>What makes this creative route distinct from the other nine?</t>
        </is>
      </c>
    </row>
    <row r="24" ht="38" customHeight="1">
      <c r="B24" s="10" t="n">
        <v>7</v>
      </c>
      <c r="C24" s="15" t="inlineStr">
        <is>
          <t>Can it be produced safely, legally, and on the proposed timing/budget?</t>
        </is>
      </c>
    </row>
    <row r="25" ht="38" customHeight="1">
      <c r="B25" s="16" t="n">
        <v>8</v>
      </c>
      <c r="C25" s="21" t="inlineStr">
        <is>
          <t>What must be true for the ROI scenario to work?</t>
        </is>
      </c>
    </row>
    <row r="26" ht="38" customHeight="1">
      <c r="B26" s="10" t="n">
        <v>9</v>
      </c>
      <c r="C26" s="15" t="inlineStr">
        <is>
          <t>Who owns the next step, and what happens if they do not act?</t>
        </is>
      </c>
    </row>
    <row r="27" ht="38" customHeight="1">
      <c r="B27" s="16" t="n">
        <v>10</v>
      </c>
      <c r="C27" s="21" t="inlineStr">
        <is>
          <t>What will we learn even if the result is weaker than expected?</t>
        </is>
      </c>
    </row>
    <row r="30" ht="23" customHeight="1">
      <c r="B30" s="22" t="inlineStr">
        <is>
          <t>ZERO-COST-FIRST RULES</t>
        </is>
      </c>
    </row>
    <row r="31" ht="28" customHeight="1">
      <c r="B31" s="25" t="inlineStr">
        <is>
          <t>• Do not use a paid API, paid automation or new subscription until the team approves a measurable upgrade case.</t>
        </is>
      </c>
    </row>
    <row r="32" ht="28" customHeight="1">
      <c r="B32" s="25" t="inlineStr">
        <is>
          <t>• Use existing AI web interfaces manually with the same structured brief; paste the result into AI Council. Do not paste sensitive client data.</t>
        </is>
      </c>
    </row>
    <row r="33" ht="28" customHeight="1">
      <c r="B33" s="25" t="inlineStr">
        <is>
          <t>• Use Google Sheets as the current master record, Drive/GitHub for assets, Looker Studio for dashboarding and NotebookLM/Obsidian only as learning aids.</t>
        </is>
      </c>
    </row>
    <row r="34" ht="28" customHeight="1">
      <c r="B34" s="25" t="inlineStr">
        <is>
          <t>• No AI or automation may approve claims, publish work, contact people, spend money or commit vendors.</t>
        </is>
      </c>
    </row>
  </sheetData>
  <mergeCells count="9">
    <mergeCell ref="B30:L30"/>
    <mergeCell ref="B16:L16"/>
    <mergeCell ref="B33:L33"/>
    <mergeCell ref="B3:L3"/>
    <mergeCell ref="B2:L2"/>
    <mergeCell ref="B5:L5"/>
    <mergeCell ref="B34:L34"/>
    <mergeCell ref="B32:L32"/>
    <mergeCell ref="B31:L31"/>
  </mergeCells>
  <pageMargins left="0.75" right="0.75" top="1" bottom="1" header="0.5" footer="0.5"/>
  <headerFooter>
    <oddHeader/>
    <oddFooter>&amp;C&amp;8 ZYNTH Master Tracker | Zero-cost-first | Generated 2026-08-21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2026-08-21T05:09:31Z</dcterms:created>
  <dcterms:modified xmlns:dcterms="http://purl.org/dc/terms/" xmlns:xsi="http://www.w3.org/2001/XMLSchema-instance" xsi:type="dcterms:W3CDTF">2026-08-21T05:09:31Z</dcterms:modified>
</cp:coreProperties>
</file>