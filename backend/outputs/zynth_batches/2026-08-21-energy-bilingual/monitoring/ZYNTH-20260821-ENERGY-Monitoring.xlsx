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ncept Monitor" sheetId="2" state="visible" r:id="rId2"/>
    <sheet xmlns:r="http://schemas.openxmlformats.org/officeDocument/2006/relationships" name="Approval &amp; Risk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urce Log" sheetId="5" state="visible" r:id="rId5"/>
    <sheet xmlns:r="http://schemas.openxmlformats.org/officeDocument/2006/relationships" name="Delivery Inventory" sheetId="6" state="visible" r:id="rId6"/>
  </sheets>
  <definedNames>
    <definedName name="_xlnm._FilterDatabase" localSheetId="1" hidden="1">'Concept Monitor'!$B$5:$Q$15</definedName>
    <definedName name="_xlnm._FilterDatabase" localSheetId="2" hidden="1">'Approval &amp; Risk'!$B$5:$I$35</definedName>
    <definedName name="_xlnm._FilterDatabase" localSheetId="4" hidden="1">'Source Log'!$B$5:$H$11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2">
    <font>
      <name val="Calibri"/>
      <family val="2"/>
      <color theme="1"/>
      <sz val="11"/>
      <scheme val="minor"/>
    </font>
    <font>
      <name val="Aptos"/>
      <b val="1"/>
      <color rgb="000E3150"/>
      <sz val="20"/>
    </font>
    <font>
      <name val="Aptos"/>
      <color rgb="005D6A75"/>
      <sz val="10"/>
    </font>
    <font>
      <name val="Aptos"/>
      <b val="1"/>
      <color rgb="000E3150"/>
      <sz val="13"/>
    </font>
    <font>
      <name val="Aptos"/>
      <b val="1"/>
      <color rgb="000E3150"/>
      <sz val="10"/>
    </font>
    <font>
      <name val="Aptos"/>
      <color rgb="0017212B"/>
      <sz val="10"/>
    </font>
    <font>
      <name val="Aptos"/>
      <b val="1"/>
      <color rgb="00FFFFFF"/>
      <sz val="9"/>
    </font>
    <font>
      <name val="Aptos"/>
      <b val="1"/>
      <color rgb="00FFFFFF"/>
      <sz val="8.5"/>
    </font>
    <font>
      <name val="Aptos"/>
      <color rgb="0017212B"/>
      <sz val="8.199999999999999"/>
    </font>
    <font>
      <name val="Aptos"/>
      <color rgb="0017212B"/>
      <sz val="9"/>
    </font>
    <font>
      <name val="Aptos"/>
      <color rgb="0017212B"/>
      <sz val="8.5"/>
    </font>
    <font>
      <name val="Aptos"/>
      <color rgb="000563C1"/>
      <sz val="8.5"/>
      <u val="single"/>
    </font>
  </fonts>
  <fills count="6">
    <fill>
      <patternFill/>
    </fill>
    <fill>
      <patternFill patternType="gray125"/>
    </fill>
    <fill>
      <patternFill patternType="solid">
        <fgColor rgb="00D6E3F0"/>
      </patternFill>
    </fill>
    <fill>
      <patternFill patternType="solid">
        <fgColor rgb="000E3150"/>
      </patternFill>
    </fill>
    <fill>
      <patternFill patternType="solid">
        <fgColor rgb="00F7FAFC"/>
      </patternFill>
    </fill>
    <fill>
      <patternFill patternType="solid">
        <fgColor rgb="00FFFDE7"/>
      </patternFill>
    </fill>
  </fills>
  <borders count="10">
    <border>
      <left/>
      <right/>
      <top/>
      <bottom/>
      <diagonal/>
    </border>
    <border>
      <left style="medium">
        <color rgb="000E3150"/>
      </left>
      <right/>
      <top style="medium">
        <color rgb="000E3150"/>
      </top>
      <bottom style="medium">
        <color rgb="000E3150"/>
      </bottom>
    </border>
    <border>
      <left/>
      <right style="medium">
        <color rgb="000E3150"/>
      </right>
      <top style="medium">
        <color rgb="000E3150"/>
      </top>
      <bottom style="medium">
        <color rgb="000E3150"/>
      </bottom>
    </border>
    <border>
      <left style="medium">
        <color rgb="000E3150"/>
      </left>
      <right/>
      <top style="thin">
        <color rgb="00C7D5DE"/>
      </top>
      <bottom style="thin">
        <color rgb="00C7D5DE"/>
      </bottom>
    </border>
    <border>
      <left/>
      <right style="medium">
        <color rgb="000E3150"/>
      </right>
      <top style="thin">
        <color rgb="00C7D5DE"/>
      </top>
      <bottom style="thin">
        <color rgb="00C7D5DE"/>
      </bottom>
    </border>
    <border>
      <left style="medium">
        <color rgb="000E3150"/>
      </left>
      <right/>
      <top style="thin">
        <color rgb="00C7D5DE"/>
      </top>
      <bottom style="medium">
        <color rgb="000E3150"/>
      </bottom>
    </border>
    <border>
      <left/>
      <right style="medium">
        <color rgb="000E3150"/>
      </right>
      <top style="thin">
        <color rgb="00C7D5DE"/>
      </top>
      <bottom style="medium">
        <color rgb="000E3150"/>
      </bottom>
    </border>
    <border>
      <left/>
      <right/>
      <top style="medium">
        <color rgb="000E3150"/>
      </top>
      <bottom style="medium">
        <color rgb="000E3150"/>
      </bottom>
    </border>
    <border>
      <left/>
      <right/>
      <top style="thin">
        <color rgb="00C7D5DE"/>
      </top>
      <bottom style="thin">
        <color rgb="00C7D5DE"/>
      </bottom>
    </border>
    <border>
      <left/>
      <right/>
      <top style="thin">
        <color rgb="00C7D5DE"/>
      </top>
      <bottom style="medium">
        <color rgb="000E315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3" fontId="6" fillId="3" borderId="7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right" vertical="center" wrapText="1"/>
    </xf>
    <xf numFmtId="0" fontId="5" fillId="4" borderId="8" applyAlignment="1" pivotButton="0" quotePrefix="0" xfId="0">
      <alignment horizontal="left" vertical="center" wrapText="1"/>
    </xf>
    <xf numFmtId="0" fontId="2" fillId="4" borderId="4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right" vertical="center" wrapText="1"/>
    </xf>
    <xf numFmtId="3" fontId="5" fillId="0" borderId="8" applyAlignment="1" pivotButton="0" quotePrefix="0" xfId="0">
      <alignment horizontal="right" vertical="center" wrapText="1"/>
    </xf>
    <xf numFmtId="0" fontId="2" fillId="0" borderId="4" applyAlignment="1" pivotButton="0" quotePrefix="0" xfId="0">
      <alignment horizontal="left" vertical="center" wrapText="1"/>
    </xf>
    <xf numFmtId="3" fontId="5" fillId="4" borderId="8" applyAlignment="1" pivotButton="0" quotePrefix="0" xfId="0">
      <alignment horizontal="right" vertical="center" wrapText="1"/>
    </xf>
    <xf numFmtId="0" fontId="5" fillId="0" borderId="8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left" vertical="center" wrapText="1"/>
    </xf>
    <xf numFmtId="0" fontId="5" fillId="4" borderId="9" applyAlignment="1" pivotButton="0" quotePrefix="0" xfId="0">
      <alignment horizontal="left" vertical="center" wrapText="1"/>
    </xf>
    <xf numFmtId="0" fontId="2" fillId="4" borderId="6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3" fontId="8" fillId="0" borderId="8" applyAlignment="1" pivotButton="0" quotePrefix="0" xfId="0">
      <alignment horizontal="right" vertical="center" wrapText="1"/>
    </xf>
    <xf numFmtId="0" fontId="8" fillId="5" borderId="8" applyAlignment="1" pivotButton="0" quotePrefix="0" xfId="0">
      <alignment horizontal="right" vertical="center" wrapText="1"/>
    </xf>
    <xf numFmtId="164" fontId="8" fillId="5" borderId="8" applyAlignment="1" pivotButton="0" quotePrefix="0" xfId="0">
      <alignment horizontal="right" vertical="center" wrapText="1"/>
    </xf>
    <xf numFmtId="165" fontId="8" fillId="0" borderId="8" applyAlignment="1" pivotButton="0" quotePrefix="0" xfId="0">
      <alignment horizontal="left" vertical="center" wrapText="1"/>
    </xf>
    <xf numFmtId="3" fontId="8" fillId="5" borderId="8" applyAlignment="1" pivotButton="0" quotePrefix="0" xfId="0">
      <alignment horizontal="right" vertical="center" wrapText="1"/>
    </xf>
    <xf numFmtId="3" fontId="8" fillId="0" borderId="8" applyAlignment="1" pivotButton="0" quotePrefix="0" xfId="0">
      <alignment horizontal="left" vertical="center" wrapText="1"/>
    </xf>
    <xf numFmtId="164" fontId="8" fillId="0" borderId="8" applyAlignment="1" pivotButton="0" quotePrefix="0" xfId="0">
      <alignment horizontal="left" vertical="center" wrapText="1"/>
    </xf>
    <xf numFmtId="165" fontId="8" fillId="0" borderId="4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8" fillId="4" borderId="8" applyAlignment="1" pivotButton="0" quotePrefix="0" xfId="0">
      <alignment horizontal="left" vertical="center" wrapText="1"/>
    </xf>
    <xf numFmtId="3" fontId="8" fillId="4" borderId="8" applyAlignment="1" pivotButton="0" quotePrefix="0" xfId="0">
      <alignment horizontal="right" vertical="center" wrapText="1"/>
    </xf>
    <xf numFmtId="0" fontId="8" fillId="4" borderId="8" applyAlignment="1" pivotButton="0" quotePrefix="0" xfId="0">
      <alignment horizontal="right" vertical="center" wrapText="1"/>
    </xf>
    <xf numFmtId="164" fontId="8" fillId="4" borderId="8" applyAlignment="1" pivotButton="0" quotePrefix="0" xfId="0">
      <alignment horizontal="right" vertical="center" wrapText="1"/>
    </xf>
    <xf numFmtId="165" fontId="8" fillId="4" borderId="8" applyAlignment="1" pivotButton="0" quotePrefix="0" xfId="0">
      <alignment horizontal="left" vertical="center" wrapText="1"/>
    </xf>
    <xf numFmtId="3" fontId="8" fillId="4" borderId="8" applyAlignment="1" pivotButton="0" quotePrefix="0" xfId="0">
      <alignment horizontal="left" vertical="center" wrapText="1"/>
    </xf>
    <xf numFmtId="164" fontId="8" fillId="4" borderId="8" applyAlignment="1" pivotButton="0" quotePrefix="0" xfId="0">
      <alignment horizontal="left" vertical="center" wrapText="1"/>
    </xf>
    <xf numFmtId="165" fontId="8" fillId="4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3" fontId="4" fillId="2" borderId="9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left" vertical="center" wrapText="1"/>
    </xf>
    <xf numFmtId="165" fontId="4" fillId="2" borderId="9" applyAlignment="1" pivotButton="0" quotePrefix="0" xfId="0">
      <alignment horizontal="left" vertical="center" wrapText="1"/>
    </xf>
    <xf numFmtId="164" fontId="4" fillId="2" borderId="9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8" fillId="5" borderId="8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left" vertical="center" wrapText="1"/>
    </xf>
    <xf numFmtId="0" fontId="8" fillId="4" borderId="4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left" vertical="center" wrapText="1"/>
    </xf>
    <xf numFmtId="0" fontId="8" fillId="4" borderId="9" applyAlignment="1" pivotButton="0" quotePrefix="0" xfId="0">
      <alignment horizontal="left" vertical="center" wrapText="1"/>
    </xf>
    <xf numFmtId="0" fontId="8" fillId="4" borderId="6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0" fontId="9" fillId="5" borderId="8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10" fillId="0" borderId="8" applyAlignment="1" pivotButton="0" quotePrefix="0" xfId="0">
      <alignment horizontal="left" vertical="center" wrapText="1"/>
    </xf>
    <xf numFmtId="0" fontId="11" fillId="0" borderId="4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 wrapText="1"/>
    </xf>
    <xf numFmtId="0" fontId="10" fillId="4" borderId="8" applyAlignment="1" pivotButton="0" quotePrefix="0" xfId="0">
      <alignment horizontal="left" vertical="center" wrapText="1"/>
    </xf>
    <xf numFmtId="0" fontId="11" fillId="4" borderId="4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left" vertical="center" wrapText="1"/>
    </xf>
    <xf numFmtId="0" fontId="10" fillId="4" borderId="9" applyAlignment="1" pivotButton="0" quotePrefix="0" xfId="0">
      <alignment horizontal="left" vertical="center" wrapText="1"/>
    </xf>
    <xf numFmtId="0" fontId="11" fillId="4" borderId="6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righ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righ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9" applyAlignment="1" pivotButton="0" quotePrefix="0" xfId="0">
      <alignment horizontal="right" vertical="center" wrapText="1"/>
    </xf>
    <xf numFmtId="0" fontId="9" fillId="0" borderId="9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Recommended Planning Envelope by Concept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'Concept Monitor'!G5</f>
            </strRef>
          </tx>
          <spPr>
            <a:solidFill xmlns:a="http://schemas.openxmlformats.org/drawingml/2006/main">
              <a:srgbClr val="E2A744"/>
            </a:solidFill>
            <a:ln xmlns:a="http://schemas.openxmlformats.org/drawingml/2006/main">
              <a:prstDash val="solid"/>
            </a:ln>
          </spPr>
          <cat>
            <numRef>
              <f>'Concept Monitor'!$C$6:$C$15</f>
            </numRef>
          </cat>
          <val>
            <numRef>
              <f>'Concept Monitor'!$G$6:$G$15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Concept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MMK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reuters.com/sustainability/climate-energy/war-torn-myanmar-embraces-solar-tackle-power-crisis-2025-11-14/" TargetMode="External" Id="rId1"/><Relationship Type="http://schemas.openxmlformats.org/officeDocument/2006/relationships/hyperlink" Target="https://english.news.cn/20260118/765dc93ac49a481d8ffbcc1972c01516/c.html" TargetMode="External" Id="rId2"/><Relationship Type="http://schemas.openxmlformats.org/officeDocument/2006/relationships/hyperlink" Target="https://www.smartpowermyanmar.org/" TargetMode="External" Id="rId3"/><Relationship Type="http://schemas.openxmlformats.org/officeDocument/2006/relationships/hyperlink" Target="https://www.gnlm.com.mm/efficiently-generate-solar-energy-for-the-state/" TargetMode="External" Id="rId4"/><Relationship Type="http://schemas.openxmlformats.org/officeDocument/2006/relationships/hyperlink" Target="https://www.mofa.gov.mm/about-myanmar/public-holidays/" TargetMode="External" Id="rId5"/><Relationship Type="http://schemas.openxmlformats.org/officeDocument/2006/relationships/hyperlink" Target="https://www.youtube.com/watch?v=9-S7urcEX2U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J19"/>
  <sheetViews>
    <sheetView showGridLines="0" zoomScale="85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</cols>
  <sheetData>
    <row r="2" ht="34" customHeight="1">
      <c r="B2" s="1" t="inlineStr">
        <is>
          <t>ZYNTH Energy Batch — Monitoring Command Sheet</t>
        </is>
      </c>
    </row>
    <row r="3" ht="30" customHeight="1">
      <c r="B3" s="2" t="inlineStr">
        <is>
          <t>Batch ZYNTH-20260821-ENERGY-BILINGUAL • Planning assumptions only • Prepared 21 Aug 2026 UTC</t>
        </is>
      </c>
    </row>
    <row r="5">
      <c r="B5" s="3" t="inlineStr">
        <is>
          <t>BATCH COVERAGE</t>
        </is>
      </c>
      <c r="F5" s="3" t="inlineStr">
        <is>
          <t>EXECUTIVE READ-OUT</t>
        </is>
      </c>
    </row>
    <row r="6">
      <c r="B6" s="4" t="inlineStr">
        <is>
          <t>Industry</t>
        </is>
      </c>
      <c r="C6" s="5" t="inlineStr">
        <is>
          <t>Energy / solar adoption</t>
        </is>
      </c>
      <c r="F6" s="4" t="inlineStr">
        <is>
          <t>Recommended planning envelope</t>
        </is>
      </c>
      <c r="G6" s="6" t="n">
        <v>440200000</v>
      </c>
      <c r="H6" s="5" t="inlineStr">
        <is>
          <t>MMK</t>
        </is>
      </c>
    </row>
    <row r="7">
      <c r="B7" s="7" t="inlineStr">
        <is>
          <t>Concepts</t>
        </is>
      </c>
      <c r="C7" s="8" t="n">
        <v>10</v>
      </c>
      <c r="F7" s="7" t="inlineStr">
        <is>
          <t>Lean–Flagship range</t>
        </is>
      </c>
      <c r="G7" s="9" t="inlineStr">
        <is>
          <t>220,900,000 – 805,400,000</t>
        </is>
      </c>
      <c r="H7" s="10" t="inlineStr">
        <is>
          <t>MMK</t>
        </is>
      </c>
    </row>
    <row r="8">
      <c r="B8" s="11" t="inlineStr">
        <is>
          <t>Word proposals</t>
        </is>
      </c>
      <c r="C8" s="12" t="n">
        <v>20</v>
      </c>
      <c r="F8" s="11" t="inlineStr">
        <is>
          <t>Base qualified lead scenarios</t>
        </is>
      </c>
      <c r="G8" s="13" t="n">
        <v>286</v>
      </c>
      <c r="H8" s="14" t="inlineStr">
        <is>
          <t>planning leads</t>
        </is>
      </c>
    </row>
    <row r="9">
      <c r="B9" s="7" t="inlineStr">
        <is>
          <t>Physical design packages</t>
        </is>
      </c>
      <c r="C9" s="8" t="n">
        <v>8</v>
      </c>
      <c r="F9" s="7" t="inlineStr">
        <is>
          <t>Base expected closes</t>
        </is>
      </c>
      <c r="G9" s="15" t="n">
        <v>47.1</v>
      </c>
      <c r="H9" s="10" t="inlineStr">
        <is>
          <t>weighted planning closes</t>
        </is>
      </c>
    </row>
    <row r="10">
      <c r="B10" s="11" t="inlineStr">
        <is>
          <t>Digital UI storyboards</t>
        </is>
      </c>
      <c r="C10" s="12" t="n">
        <v>2</v>
      </c>
      <c r="F10" s="11" t="inlineStr">
        <is>
          <t>Commercial claim posture</t>
        </is>
      </c>
      <c r="G10" s="16" t="inlineStr">
        <is>
          <t>No guarantee; contribution / close rates require client calibration</t>
        </is>
      </c>
      <c r="H10" s="14" t="inlineStr"/>
    </row>
    <row r="11">
      <c r="B11" s="7" t="inlineStr">
        <is>
          <t>Source IDs</t>
        </is>
      </c>
      <c r="C11" s="8" t="n">
        <v>6</v>
      </c>
      <c r="F11" s="17" t="inlineStr">
        <is>
          <t>Q4 calendar guardrail</t>
        </is>
      </c>
      <c r="G11" s="18" t="inlineStr">
        <is>
          <t>Use official dates only as timing cues; rights / permits remain TBC</t>
        </is>
      </c>
      <c r="H11" s="19" t="inlineStr"/>
    </row>
    <row r="12">
      <c r="B12" s="20" t="inlineStr">
        <is>
          <t>Model status</t>
        </is>
      </c>
      <c r="C12" s="21" t="inlineStr">
        <is>
          <t>Planning assumptions / client data required</t>
        </is>
      </c>
    </row>
    <row r="15">
      <c r="B15" s="3" t="inlineStr">
        <is>
          <t>KEY INSIGHTS</t>
        </is>
      </c>
    </row>
    <row r="16" ht="32" customHeight="1">
      <c r="B16" s="22" t="inlineStr">
        <is>
          <t>• The batch deliberately varies conversion methods: assessment booking, site-survey request, product-demo appointment, technical briefing, cohort application, fleet workshop, listening participation, discussion brief, checklist request and CRM decision sprint.</t>
        </is>
      </c>
    </row>
    <row r="17" ht="32" customHeight="1">
      <c r="B17" s="22" t="inlineStr">
        <is>
          <t>• Official Q4 2026 dates are used only as guardrails: Thadingyut 25–27 Oct, Tazaungdaing 23–24 Nov, National Day 4 Dec and Christmas Day 25 Dec.</t>
        </is>
      </c>
    </row>
    <row r="18" ht="32" customHeight="1">
      <c r="B18" s="22" t="inlineStr">
        <is>
          <t>• The market source log supports relevance, but all talent, venue, permit, sponsor, supplier, product, technical and rights commitments remain proposed/TBC until client-approved verification.</t>
        </is>
      </c>
    </row>
    <row r="19" ht="32" customHeight="1">
      <c r="B19" s="22" t="inlineStr">
        <is>
          <t>• Every Recommended-package ROI calculation is a scenario based on a configurable incremental contribution per close—not a financial forecast or performance guarantee.</t>
        </is>
      </c>
    </row>
  </sheetData>
  <mergeCells count="9">
    <mergeCell ref="B15:J15"/>
    <mergeCell ref="B3:J3"/>
    <mergeCell ref="B19:J19"/>
    <mergeCell ref="F5:J5"/>
    <mergeCell ref="B17:J17"/>
    <mergeCell ref="B18:J18"/>
    <mergeCell ref="B5:E5"/>
    <mergeCell ref="B16:J16"/>
    <mergeCell ref="B2:J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Q16"/>
  <sheetViews>
    <sheetView showGridLines="0" zoomScale="85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26" customWidth="1" min="3" max="3"/>
    <col width="30" customWidth="1" min="4" max="4"/>
    <col width="12" customWidth="1" min="5" max="5"/>
    <col width="14" customWidth="1" min="6" max="6"/>
    <col width="16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  <col width="14" customWidth="1" min="13" max="13"/>
    <col width="18" customWidth="1" min="14" max="14"/>
    <col width="18" customWidth="1" min="15" max="15"/>
    <col width="16" customWidth="1" min="16" max="16"/>
    <col width="16" customWidth="1" min="17" max="17"/>
  </cols>
  <sheetData>
    <row r="2" ht="34" customHeight="1">
      <c r="B2" s="1" t="inlineStr">
        <is>
          <t>Concept Monitor</t>
        </is>
      </c>
    </row>
    <row r="3" ht="30" customHeight="1">
      <c r="B3" s="2" t="inlineStr">
        <is>
          <t>Formula-driven planning model. Update only yellow assumption cells after client discovery; this file does not guarantee commercial outcomes.</t>
        </is>
      </c>
    </row>
    <row r="5">
      <c r="B5" s="4" t="inlineStr">
        <is>
          <t>#</t>
        </is>
      </c>
      <c r="C5" s="23" t="inlineStr">
        <is>
          <t>Concept</t>
        </is>
      </c>
      <c r="D5" s="23" t="inlineStr">
        <is>
          <t>Format</t>
        </is>
      </c>
      <c r="E5" s="23" t="inlineStr">
        <is>
          <t>Mode</t>
        </is>
      </c>
      <c r="F5" s="23" t="inlineStr">
        <is>
          <t>Lean MMK</t>
        </is>
      </c>
      <c r="G5" s="23" t="inlineStr">
        <is>
          <t>Recommended MMK</t>
        </is>
      </c>
      <c r="H5" s="23" t="inlineStr">
        <is>
          <t>Flagship MMK</t>
        </is>
      </c>
      <c r="I5" s="23" t="inlineStr">
        <is>
          <t>Conservative QL</t>
        </is>
      </c>
      <c r="J5" s="23" t="inlineStr">
        <is>
          <t>Base QL</t>
        </is>
      </c>
      <c r="K5" s="23" t="inlineStr">
        <is>
          <t>Upside QL</t>
        </is>
      </c>
      <c r="L5" s="23" t="inlineStr">
        <is>
          <t>Base Close %</t>
        </is>
      </c>
      <c r="M5" s="23" t="inlineStr">
        <is>
          <t>Expected Closes</t>
        </is>
      </c>
      <c r="N5" s="23" t="inlineStr">
        <is>
          <t>Contribution / Close</t>
        </is>
      </c>
      <c r="O5" s="23" t="inlineStr">
        <is>
          <t>Base Contribution</t>
        </is>
      </c>
      <c r="P5" s="23" t="inlineStr">
        <is>
          <t>ROI vs Recommended</t>
        </is>
      </c>
      <c r="Q5" s="5" t="inlineStr">
        <is>
          <t>Break-even Deals</t>
        </is>
      </c>
    </row>
    <row r="6" ht="42" customHeight="1">
      <c r="B6" s="24" t="inlineStr">
        <is>
          <t>01</t>
        </is>
      </c>
      <c r="C6" s="25" t="inlineStr">
        <is>
          <t>The Continuity Clinic</t>
        </is>
      </c>
      <c r="D6" s="25" t="inlineStr">
        <is>
          <t>Executive diagnostic pop-up and appointment-led proof lab</t>
        </is>
      </c>
      <c r="E6" s="25" t="inlineStr">
        <is>
          <t>physical</t>
        </is>
      </c>
      <c r="F6" s="26" t="n">
        <v>18900000</v>
      </c>
      <c r="G6" s="26" t="n">
        <v>39600000</v>
      </c>
      <c r="H6" s="26" t="n">
        <v>71800000</v>
      </c>
      <c r="I6" s="27" t="n">
        <v>8</v>
      </c>
      <c r="J6" s="27" t="n">
        <v>18</v>
      </c>
      <c r="K6" s="27" t="n">
        <v>32</v>
      </c>
      <c r="L6" s="28" t="n">
        <v>0.22</v>
      </c>
      <c r="M6" s="29">
        <f>J6*L6</f>
        <v/>
      </c>
      <c r="N6" s="30" t="n">
        <v>9000000</v>
      </c>
      <c r="O6" s="31">
        <f>M6*N6</f>
        <v/>
      </c>
      <c r="P6" s="32">
        <f>(O6-G6)/G6</f>
        <v/>
      </c>
      <c r="Q6" s="33">
        <f>ROUNDUP(G6/N6,0)</f>
        <v/>
      </c>
    </row>
    <row r="7" ht="42" customHeight="1">
      <c r="B7" s="34" t="inlineStr">
        <is>
          <t>02</t>
        </is>
      </c>
      <c r="C7" s="35" t="inlineStr">
        <is>
          <t>Power Proof Roadshow</t>
        </is>
      </c>
      <c r="D7" s="35" t="inlineStr">
        <is>
          <t>C&amp;I mobile demonstration roadshow</t>
        </is>
      </c>
      <c r="E7" s="35" t="inlineStr">
        <is>
          <t>physical</t>
        </is>
      </c>
      <c r="F7" s="36" t="n">
        <v>34500000</v>
      </c>
      <c r="G7" s="36" t="n">
        <v>68400000</v>
      </c>
      <c r="H7" s="36" t="n">
        <v>125200000</v>
      </c>
      <c r="I7" s="37" t="n">
        <v>14</v>
      </c>
      <c r="J7" s="37" t="n">
        <v>32</v>
      </c>
      <c r="K7" s="37" t="n">
        <v>58</v>
      </c>
      <c r="L7" s="38" t="n">
        <v>0.18</v>
      </c>
      <c r="M7" s="39">
        <f>J7*L7</f>
        <v/>
      </c>
      <c r="N7" s="36" t="n">
        <v>12000000</v>
      </c>
      <c r="O7" s="40">
        <f>M7*N7</f>
        <v/>
      </c>
      <c r="P7" s="41">
        <f>(O7-G7)/G7</f>
        <v/>
      </c>
      <c r="Q7" s="42">
        <f>ROUNDUP(G7/N7,0)</f>
        <v/>
      </c>
    </row>
    <row r="8" ht="42" customHeight="1">
      <c r="B8" s="24" t="inlineStr">
        <is>
          <t>03</t>
        </is>
      </c>
      <c r="C8" s="25" t="inlineStr">
        <is>
          <t>Night Shift, No Pause</t>
        </is>
      </c>
      <c r="D8" s="25" t="inlineStr">
        <is>
          <t>Micro-business product launch and after-dark retail activation</t>
        </is>
      </c>
      <c r="E8" s="25" t="inlineStr">
        <is>
          <t>physical</t>
        </is>
      </c>
      <c r="F8" s="26" t="n">
        <v>24800000</v>
      </c>
      <c r="G8" s="26" t="n">
        <v>46900000</v>
      </c>
      <c r="H8" s="26" t="n">
        <v>82500000</v>
      </c>
      <c r="I8" s="27" t="n">
        <v>18</v>
      </c>
      <c r="J8" s="27" t="n">
        <v>42</v>
      </c>
      <c r="K8" s="27" t="n">
        <v>76</v>
      </c>
      <c r="L8" s="28" t="n">
        <v>0.14</v>
      </c>
      <c r="M8" s="29">
        <f>J8*L8</f>
        <v/>
      </c>
      <c r="N8" s="30" t="n">
        <v>6500000</v>
      </c>
      <c r="O8" s="31">
        <f>M8*N8</f>
        <v/>
      </c>
      <c r="P8" s="32">
        <f>(O8-G8)/G8</f>
        <v/>
      </c>
      <c r="Q8" s="33">
        <f>ROUNDUP(G8/N8,0)</f>
        <v/>
      </c>
    </row>
    <row r="9" ht="42" customHeight="1">
      <c r="B9" s="34" t="inlineStr">
        <is>
          <t>04</t>
        </is>
      </c>
      <c r="C9" s="35" t="inlineStr">
        <is>
          <t>Solar Open House: The Installation You Can Inspect</t>
        </is>
      </c>
      <c r="D9" s="35" t="inlineStr">
        <is>
          <t>Invitation-only executive site walk and press-preview format</t>
        </is>
      </c>
      <c r="E9" s="35" t="inlineStr">
        <is>
          <t>physical</t>
        </is>
      </c>
      <c r="F9" s="36" t="n">
        <v>27400000</v>
      </c>
      <c r="G9" s="36" t="n">
        <v>55800000</v>
      </c>
      <c r="H9" s="36" t="n">
        <v>96100000</v>
      </c>
      <c r="I9" s="37" t="n">
        <v>7</v>
      </c>
      <c r="J9" s="37" t="n">
        <v>16</v>
      </c>
      <c r="K9" s="37" t="n">
        <v>28</v>
      </c>
      <c r="L9" s="38" t="n">
        <v>0.25</v>
      </c>
      <c r="M9" s="39">
        <f>J9*L9</f>
        <v/>
      </c>
      <c r="N9" s="36" t="n">
        <v>14000000</v>
      </c>
      <c r="O9" s="40">
        <f>M9*N9</f>
        <v/>
      </c>
      <c r="P9" s="41">
        <f>(O9-G9)/G9</f>
        <v/>
      </c>
      <c r="Q9" s="42">
        <f>ROUNDUP(G9/N9,0)</f>
        <v/>
      </c>
    </row>
    <row r="10" ht="42" customHeight="1">
      <c r="B10" s="24" t="inlineStr">
        <is>
          <t>05</t>
        </is>
      </c>
      <c r="C10" s="25" t="inlineStr">
        <is>
          <t>Energy Champions Academy</t>
        </is>
      </c>
      <c r="D10" s="25" t="inlineStr">
        <is>
          <t>Installer masterclass and service-readiness programme</t>
        </is>
      </c>
      <c r="E10" s="25" t="inlineStr">
        <is>
          <t>physical</t>
        </is>
      </c>
      <c r="F10" s="26" t="n">
        <v>21600000</v>
      </c>
      <c r="G10" s="26" t="n">
        <v>42700000</v>
      </c>
      <c r="H10" s="26" t="n">
        <v>75900000</v>
      </c>
      <c r="I10" s="27" t="n">
        <v>12</v>
      </c>
      <c r="J10" s="27" t="n">
        <v>28</v>
      </c>
      <c r="K10" s="27" t="n">
        <v>50</v>
      </c>
      <c r="L10" s="28" t="n">
        <v>0.17</v>
      </c>
      <c r="M10" s="29">
        <f>J10*L10</f>
        <v/>
      </c>
      <c r="N10" s="30" t="n">
        <v>8000000</v>
      </c>
      <c r="O10" s="31">
        <f>M10*N10</f>
        <v/>
      </c>
      <c r="P10" s="32">
        <f>(O10-G10)/G10</f>
        <v/>
      </c>
      <c r="Q10" s="33">
        <f>ROUNDUP(G10/N10,0)</f>
        <v/>
      </c>
    </row>
    <row r="11" ht="42" customHeight="1">
      <c r="B11" s="34" t="inlineStr">
        <is>
          <t>06</t>
        </is>
      </c>
      <c r="C11" s="35" t="inlineStr">
        <is>
          <t>Charge the Route</t>
        </is>
      </c>
      <c r="D11" s="35" t="inlineStr">
        <is>
          <t>Fleet/dealer event with energy-and-mobility demonstration</t>
        </is>
      </c>
      <c r="E11" s="35" t="inlineStr">
        <is>
          <t>physical</t>
        </is>
      </c>
      <c r="F11" s="36" t="n">
        <v>31800000</v>
      </c>
      <c r="G11" s="36" t="n">
        <v>61500000</v>
      </c>
      <c r="H11" s="36" t="n">
        <v>112400000</v>
      </c>
      <c r="I11" s="37" t="n">
        <v>9</v>
      </c>
      <c r="J11" s="37" t="n">
        <v>21</v>
      </c>
      <c r="K11" s="37" t="n">
        <v>38</v>
      </c>
      <c r="L11" s="38" t="n">
        <v>0.2</v>
      </c>
      <c r="M11" s="39">
        <f>J11*L11</f>
        <v/>
      </c>
      <c r="N11" s="36" t="n">
        <v>15000000</v>
      </c>
      <c r="O11" s="40">
        <f>M11*N11</f>
        <v/>
      </c>
      <c r="P11" s="41">
        <f>(O11-G11)/G11</f>
        <v/>
      </c>
      <c r="Q11" s="42">
        <f>ROUNDUP(G11/N11,0)</f>
        <v/>
      </c>
    </row>
    <row r="12" ht="42" customHeight="1">
      <c r="B12" s="24" t="inlineStr">
        <is>
          <t>07</t>
        </is>
      </c>
      <c r="C12" s="25" t="inlineStr">
        <is>
          <t>Light for What Matters</t>
        </is>
      </c>
      <c r="D12" s="25" t="inlineStr">
        <is>
          <t>Community listening programme and proposed/TBC social-impact activation</t>
        </is>
      </c>
      <c r="E12" s="25" t="inlineStr">
        <is>
          <t>physical</t>
        </is>
      </c>
      <c r="F12" s="26" t="n">
        <v>17800000</v>
      </c>
      <c r="G12" s="26" t="n">
        <v>36600000</v>
      </c>
      <c r="H12" s="26" t="n">
        <v>74200000</v>
      </c>
      <c r="I12" s="27" t="n">
        <v>5</v>
      </c>
      <c r="J12" s="27" t="n">
        <v>12</v>
      </c>
      <c r="K12" s="27" t="n">
        <v>20</v>
      </c>
      <c r="L12" s="28" t="n">
        <v>0.12</v>
      </c>
      <c r="M12" s="29">
        <f>J12*L12</f>
        <v/>
      </c>
      <c r="N12" s="30" t="n">
        <v>10000000</v>
      </c>
      <c r="O12" s="31">
        <f>M12*N12</f>
        <v/>
      </c>
      <c r="P12" s="32">
        <f>(O12-G12)/G12</f>
        <v/>
      </c>
      <c r="Q12" s="33">
        <f>ROUNDUP(G12/N12,0)</f>
        <v/>
      </c>
    </row>
    <row r="13" ht="42" customHeight="1">
      <c r="B13" s="34" t="inlineStr">
        <is>
          <t>08</t>
        </is>
      </c>
      <c r="C13" s="35" t="inlineStr">
        <is>
          <t>My Load, My Plan</t>
        </is>
      </c>
      <c r="D13" s="35" t="inlineStr">
        <is>
          <t>Paid digital funnel and interactive decision UI</t>
        </is>
      </c>
      <c r="E13" s="35" t="inlineStr">
        <is>
          <t>digital</t>
        </is>
      </c>
      <c r="F13" s="36" t="n">
        <v>14400000</v>
      </c>
      <c r="G13" s="36" t="n">
        <v>28900000</v>
      </c>
      <c r="H13" s="36" t="n">
        <v>55100000</v>
      </c>
      <c r="I13" s="37" t="n">
        <v>20</v>
      </c>
      <c r="J13" s="37" t="n">
        <v>55</v>
      </c>
      <c r="K13" s="37" t="n">
        <v>110</v>
      </c>
      <c r="L13" s="38" t="n">
        <v>0.12</v>
      </c>
      <c r="M13" s="39">
        <f>J13*L13</f>
        <v/>
      </c>
      <c r="N13" s="36" t="n">
        <v>7000000</v>
      </c>
      <c r="O13" s="40">
        <f>M13*N13</f>
        <v/>
      </c>
      <c r="P13" s="41">
        <f>(O13-G13)/G13</f>
        <v/>
      </c>
      <c r="Q13" s="42">
        <f>ROUNDUP(G13/N13,0)</f>
        <v/>
      </c>
    </row>
    <row r="14" ht="42" customHeight="1">
      <c r="B14" s="24" t="inlineStr">
        <is>
          <t>09</t>
        </is>
      </c>
      <c r="C14" s="25" t="inlineStr">
        <is>
          <t>The 100-Hour Question</t>
        </is>
      </c>
      <c r="D14" s="25" t="inlineStr">
        <is>
          <t>Proof-led content series and monitored social challenge</t>
        </is>
      </c>
      <c r="E14" s="25" t="inlineStr">
        <is>
          <t>physical</t>
        </is>
      </c>
      <c r="F14" s="26" t="n">
        <v>16800000</v>
      </c>
      <c r="G14" s="26" t="n">
        <v>34200000</v>
      </c>
      <c r="H14" s="26" t="n">
        <v>63400000</v>
      </c>
      <c r="I14" s="27" t="n">
        <v>16</v>
      </c>
      <c r="J14" s="27" t="n">
        <v>38</v>
      </c>
      <c r="K14" s="27" t="n">
        <v>72</v>
      </c>
      <c r="L14" s="28" t="n">
        <v>0.15</v>
      </c>
      <c r="M14" s="29">
        <f>J14*L14</f>
        <v/>
      </c>
      <c r="N14" s="30" t="n">
        <v>8000000</v>
      </c>
      <c r="O14" s="31">
        <f>M14*N14</f>
        <v/>
      </c>
      <c r="P14" s="32">
        <f>(O14-G14)/G14</f>
        <v/>
      </c>
      <c r="Q14" s="33">
        <f>ROUNDUP(G14/N14,0)</f>
        <v/>
      </c>
    </row>
    <row r="15" ht="42" customHeight="1">
      <c r="B15" s="34" t="inlineStr">
        <is>
          <t>10</t>
        </is>
      </c>
      <c r="C15" s="35" t="inlineStr">
        <is>
          <t>Renewal Window</t>
        </is>
      </c>
      <c r="D15" s="35" t="inlineStr">
        <is>
          <t>CRM reactivation and account-based decision-sprint programme</t>
        </is>
      </c>
      <c r="E15" s="35" t="inlineStr">
        <is>
          <t>digital</t>
        </is>
      </c>
      <c r="F15" s="36" t="n">
        <v>12900000</v>
      </c>
      <c r="G15" s="36" t="n">
        <v>25600000</v>
      </c>
      <c r="H15" s="36" t="n">
        <v>48800000</v>
      </c>
      <c r="I15" s="37" t="n">
        <v>10</v>
      </c>
      <c r="J15" s="37" t="n">
        <v>24</v>
      </c>
      <c r="K15" s="37" t="n">
        <v>45</v>
      </c>
      <c r="L15" s="38" t="n">
        <v>0.2</v>
      </c>
      <c r="M15" s="39">
        <f>J15*L15</f>
        <v/>
      </c>
      <c r="N15" s="36" t="n">
        <v>10000000</v>
      </c>
      <c r="O15" s="40">
        <f>M15*N15</f>
        <v/>
      </c>
      <c r="P15" s="41">
        <f>(O15-G15)/G15</f>
        <v/>
      </c>
      <c r="Q15" s="42">
        <f>ROUNDUP(G15/N15,0)</f>
        <v/>
      </c>
    </row>
    <row r="16">
      <c r="B16" s="43" t="inlineStr">
        <is>
          <t>TOTAL / WEIGHTED</t>
        </is>
      </c>
      <c r="C16" s="44" t="n"/>
      <c r="D16" s="44" t="n"/>
      <c r="E16" s="44" t="n"/>
      <c r="F16" s="45">
        <f>SUM(F6:F15)</f>
        <v/>
      </c>
      <c r="G16" s="45">
        <f>SUM(G6:G15)</f>
        <v/>
      </c>
      <c r="H16" s="45">
        <f>SUM(H6:H15)</f>
        <v/>
      </c>
      <c r="I16" s="45">
        <f>SUM(I6:I15)</f>
        <v/>
      </c>
      <c r="J16" s="45">
        <f>SUM(J6:J15)</f>
        <v/>
      </c>
      <c r="K16" s="45">
        <f>SUM(K6:K15)</f>
        <v/>
      </c>
      <c r="L16" s="46" t="inlineStr">
        <is>
          <t>n/a</t>
        </is>
      </c>
      <c r="M16" s="47">
        <f>SUM(M6:M15)</f>
        <v/>
      </c>
      <c r="N16" s="46" t="inlineStr">
        <is>
          <t>n/a</t>
        </is>
      </c>
      <c r="O16" s="45">
        <f>SUM(O6:O15)</f>
        <v/>
      </c>
      <c r="P16" s="48">
        <f>(O16-G16)/G16</f>
        <v/>
      </c>
      <c r="Q16" s="49" t="inlineStr">
        <is>
          <t>n/a</t>
        </is>
      </c>
    </row>
  </sheetData>
  <autoFilter ref="B5:Q15"/>
  <mergeCells count="2">
    <mergeCell ref="B3:O3"/>
    <mergeCell ref="B2:O2"/>
  </mergeCells>
  <conditionalFormatting sqref="P6:P15">
    <cfRule type="colorScale" priority="1">
      <colorScale>
        <cfvo type="min"/>
        <cfvo type="max"/>
        <color rgb="00F4CCCC"/>
        <color rgb="00D9EAD3"/>
      </colorScale>
    </cfRule>
  </conditionalFormatting>
  <conditionalFormatting sqref="J6:J15">
    <cfRule type="dataBar" priority="2">
      <dataBar>
        <cfvo type="min"/>
        <cfvo type="max"/>
        <color rgb="00E2A744"/>
      </dataBar>
    </cfRule>
  </conditionalFormatting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J35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32" customWidth="1" min="4" max="4"/>
    <col width="22" customWidth="1" min="5" max="5"/>
    <col width="22" customWidth="1" min="6" max="6"/>
    <col width="12" customWidth="1" min="7" max="7"/>
    <col width="14" customWidth="1" min="8" max="8"/>
    <col width="35" customWidth="1" min="9" max="9"/>
  </cols>
  <sheetData>
    <row r="2" ht="34" customHeight="1">
      <c r="B2" s="1" t="inlineStr">
        <is>
          <t>Approval &amp; Risk Monitor</t>
        </is>
      </c>
    </row>
    <row r="3" ht="30" customHeight="1">
      <c r="B3" s="2" t="inlineStr">
        <is>
          <t>Owner names, timing and final status must be supplied by the client before production commitments.</t>
        </is>
      </c>
    </row>
    <row r="5">
      <c r="B5" s="4" t="inlineStr">
        <is>
          <t>Concept</t>
        </is>
      </c>
      <c r="C5" s="23" t="inlineStr">
        <is>
          <t>Gate</t>
        </is>
      </c>
      <c r="D5" s="23" t="inlineStr">
        <is>
          <t>Decision</t>
        </is>
      </c>
      <c r="E5" s="23" t="inlineStr">
        <is>
          <t>Owner</t>
        </is>
      </c>
      <c r="F5" s="23" t="inlineStr">
        <is>
          <t>Dependency</t>
        </is>
      </c>
      <c r="G5" s="23" t="inlineStr">
        <is>
          <t>Status</t>
        </is>
      </c>
      <c r="H5" s="23" t="inlineStr">
        <is>
          <t>Target date</t>
        </is>
      </c>
      <c r="I5" s="5" t="inlineStr">
        <is>
          <t>Evidence / notes</t>
        </is>
      </c>
    </row>
    <row r="6" ht="34" customHeight="1">
      <c r="B6" s="24" t="inlineStr">
        <is>
          <t>The Continuity Clinic</t>
        </is>
      </c>
      <c r="C6" s="25" t="inlineStr">
        <is>
          <t>Strategy / scope</t>
        </is>
      </c>
      <c r="D6" s="25" t="inlineStr">
        <is>
          <t>Approve tension, audience, KPI and Recommended envelope</t>
        </is>
      </c>
      <c r="E6" s="50" t="inlineStr">
        <is>
          <t>Client marketing owner</t>
        </is>
      </c>
      <c r="F6" s="25" t="inlineStr">
        <is>
          <t>Brand / audience data</t>
        </is>
      </c>
      <c r="G6" s="50" t="inlineStr">
        <is>
          <t>TBC</t>
        </is>
      </c>
      <c r="H6" s="50" t="inlineStr">
        <is>
          <t>TBC</t>
        </is>
      </c>
      <c r="I6" s="51" t="inlineStr"/>
    </row>
    <row r="7" ht="34" customHeight="1">
      <c r="B7" s="34" t="inlineStr">
        <is>
          <t>The Continuity Clinic</t>
        </is>
      </c>
      <c r="C7" s="35" t="inlineStr">
        <is>
          <t>Claims / legal</t>
        </is>
      </c>
      <c r="D7" s="35" t="inlineStr">
        <is>
          <t>Approve evidence, message, CTA and data notice</t>
        </is>
      </c>
      <c r="E7" s="35" t="inlineStr">
        <is>
          <t>Client legal + technical</t>
        </is>
      </c>
      <c r="F7" s="35" t="inlineStr">
        <is>
          <t>Claim substantiation</t>
        </is>
      </c>
      <c r="G7" s="35" t="inlineStr">
        <is>
          <t>TBC</t>
        </is>
      </c>
      <c r="H7" s="35" t="inlineStr">
        <is>
          <t>TBC</t>
        </is>
      </c>
      <c r="I7" s="52" t="inlineStr"/>
    </row>
    <row r="8" ht="34" customHeight="1">
      <c r="B8" s="24" t="inlineStr">
        <is>
          <t>The Continuity Clinic</t>
        </is>
      </c>
      <c r="C8" s="25" t="inlineStr">
        <is>
          <t>Production / rights</t>
        </is>
      </c>
      <c r="D8" s="25" t="inlineStr">
        <is>
          <t>Approve venue, supplier, talent, media, permit and usage rights</t>
        </is>
      </c>
      <c r="E8" s="50" t="inlineStr">
        <is>
          <t>Client PM + production house</t>
        </is>
      </c>
      <c r="F8" s="25" t="inlineStr">
        <is>
          <t>Written confirmation</t>
        </is>
      </c>
      <c r="G8" s="50" t="inlineStr">
        <is>
          <t>TBC</t>
        </is>
      </c>
      <c r="H8" s="50" t="inlineStr">
        <is>
          <t>TBC</t>
        </is>
      </c>
      <c r="I8" s="51" t="inlineStr"/>
    </row>
    <row r="9" ht="34" customHeight="1">
      <c r="B9" s="34" t="inlineStr">
        <is>
          <t>Power Proof Roadshow</t>
        </is>
      </c>
      <c r="C9" s="35" t="inlineStr">
        <is>
          <t>Strategy / scope</t>
        </is>
      </c>
      <c r="D9" s="35" t="inlineStr">
        <is>
          <t>Approve tension, audience, KPI and Recommended envelope</t>
        </is>
      </c>
      <c r="E9" s="35" t="inlineStr">
        <is>
          <t>Client marketing owner</t>
        </is>
      </c>
      <c r="F9" s="35" t="inlineStr">
        <is>
          <t>Brand / audience data</t>
        </is>
      </c>
      <c r="G9" s="35" t="inlineStr">
        <is>
          <t>TBC</t>
        </is>
      </c>
      <c r="H9" s="35" t="inlineStr">
        <is>
          <t>TBC</t>
        </is>
      </c>
      <c r="I9" s="52" t="inlineStr"/>
    </row>
    <row r="10" ht="34" customHeight="1">
      <c r="B10" s="24" t="inlineStr">
        <is>
          <t>Power Proof Roadshow</t>
        </is>
      </c>
      <c r="C10" s="25" t="inlineStr">
        <is>
          <t>Claims / legal</t>
        </is>
      </c>
      <c r="D10" s="25" t="inlineStr">
        <is>
          <t>Approve evidence, message, CTA and data notice</t>
        </is>
      </c>
      <c r="E10" s="50" t="inlineStr">
        <is>
          <t>Client legal + technical</t>
        </is>
      </c>
      <c r="F10" s="25" t="inlineStr">
        <is>
          <t>Claim substantiation</t>
        </is>
      </c>
      <c r="G10" s="50" t="inlineStr">
        <is>
          <t>TBC</t>
        </is>
      </c>
      <c r="H10" s="50" t="inlineStr">
        <is>
          <t>TBC</t>
        </is>
      </c>
      <c r="I10" s="51" t="inlineStr"/>
    </row>
    <row r="11" ht="34" customHeight="1">
      <c r="B11" s="34" t="inlineStr">
        <is>
          <t>Power Proof Roadshow</t>
        </is>
      </c>
      <c r="C11" s="35" t="inlineStr">
        <is>
          <t>Production / rights</t>
        </is>
      </c>
      <c r="D11" s="35" t="inlineStr">
        <is>
          <t>Approve venue, supplier, talent, media, permit and usage rights</t>
        </is>
      </c>
      <c r="E11" s="35" t="inlineStr">
        <is>
          <t>Client PM + production house</t>
        </is>
      </c>
      <c r="F11" s="35" t="inlineStr">
        <is>
          <t>Written confirmation</t>
        </is>
      </c>
      <c r="G11" s="35" t="inlineStr">
        <is>
          <t>TBC</t>
        </is>
      </c>
      <c r="H11" s="35" t="inlineStr">
        <is>
          <t>TBC</t>
        </is>
      </c>
      <c r="I11" s="52" t="inlineStr"/>
    </row>
    <row r="12" ht="34" customHeight="1">
      <c r="B12" s="24" t="inlineStr">
        <is>
          <t>Night Shift, No Pause</t>
        </is>
      </c>
      <c r="C12" s="25" t="inlineStr">
        <is>
          <t>Strategy / scope</t>
        </is>
      </c>
      <c r="D12" s="25" t="inlineStr">
        <is>
          <t>Approve tension, audience, KPI and Recommended envelope</t>
        </is>
      </c>
      <c r="E12" s="50" t="inlineStr">
        <is>
          <t>Client marketing owner</t>
        </is>
      </c>
      <c r="F12" s="25" t="inlineStr">
        <is>
          <t>Brand / audience data</t>
        </is>
      </c>
      <c r="G12" s="50" t="inlineStr">
        <is>
          <t>TBC</t>
        </is>
      </c>
      <c r="H12" s="50" t="inlineStr">
        <is>
          <t>TBC</t>
        </is>
      </c>
      <c r="I12" s="51" t="inlineStr"/>
    </row>
    <row r="13" ht="34" customHeight="1">
      <c r="B13" s="34" t="inlineStr">
        <is>
          <t>Night Shift, No Pause</t>
        </is>
      </c>
      <c r="C13" s="35" t="inlineStr">
        <is>
          <t>Claims / legal</t>
        </is>
      </c>
      <c r="D13" s="35" t="inlineStr">
        <is>
          <t>Approve evidence, message, CTA and data notice</t>
        </is>
      </c>
      <c r="E13" s="35" t="inlineStr">
        <is>
          <t>Client legal + technical</t>
        </is>
      </c>
      <c r="F13" s="35" t="inlineStr">
        <is>
          <t>Claim substantiation</t>
        </is>
      </c>
      <c r="G13" s="35" t="inlineStr">
        <is>
          <t>TBC</t>
        </is>
      </c>
      <c r="H13" s="35" t="inlineStr">
        <is>
          <t>TBC</t>
        </is>
      </c>
      <c r="I13" s="52" t="inlineStr"/>
    </row>
    <row r="14" ht="34" customHeight="1">
      <c r="B14" s="24" t="inlineStr">
        <is>
          <t>Night Shift, No Pause</t>
        </is>
      </c>
      <c r="C14" s="25" t="inlineStr">
        <is>
          <t>Production / rights</t>
        </is>
      </c>
      <c r="D14" s="25" t="inlineStr">
        <is>
          <t>Approve venue, supplier, talent, media, permit and usage rights</t>
        </is>
      </c>
      <c r="E14" s="50" t="inlineStr">
        <is>
          <t>Client PM + production house</t>
        </is>
      </c>
      <c r="F14" s="25" t="inlineStr">
        <is>
          <t>Written confirmation</t>
        </is>
      </c>
      <c r="G14" s="50" t="inlineStr">
        <is>
          <t>TBC</t>
        </is>
      </c>
      <c r="H14" s="50" t="inlineStr">
        <is>
          <t>TBC</t>
        </is>
      </c>
      <c r="I14" s="51" t="inlineStr"/>
    </row>
    <row r="15" ht="34" customHeight="1">
      <c r="B15" s="34" t="inlineStr">
        <is>
          <t>Solar Open House: The Installation You Can Inspect</t>
        </is>
      </c>
      <c r="C15" s="35" t="inlineStr">
        <is>
          <t>Strategy / scope</t>
        </is>
      </c>
      <c r="D15" s="35" t="inlineStr">
        <is>
          <t>Approve tension, audience, KPI and Recommended envelope</t>
        </is>
      </c>
      <c r="E15" s="35" t="inlineStr">
        <is>
          <t>Client marketing owner</t>
        </is>
      </c>
      <c r="F15" s="35" t="inlineStr">
        <is>
          <t>Brand / audience data</t>
        </is>
      </c>
      <c r="G15" s="35" t="inlineStr">
        <is>
          <t>TBC</t>
        </is>
      </c>
      <c r="H15" s="35" t="inlineStr">
        <is>
          <t>TBC</t>
        </is>
      </c>
      <c r="I15" s="52" t="inlineStr"/>
    </row>
    <row r="16" ht="34" customHeight="1">
      <c r="B16" s="24" t="inlineStr">
        <is>
          <t>Solar Open House: The Installation You Can Inspect</t>
        </is>
      </c>
      <c r="C16" s="25" t="inlineStr">
        <is>
          <t>Claims / legal</t>
        </is>
      </c>
      <c r="D16" s="25" t="inlineStr">
        <is>
          <t>Approve evidence, message, CTA and data notice</t>
        </is>
      </c>
      <c r="E16" s="50" t="inlineStr">
        <is>
          <t>Client legal + technical</t>
        </is>
      </c>
      <c r="F16" s="25" t="inlineStr">
        <is>
          <t>Claim substantiation</t>
        </is>
      </c>
      <c r="G16" s="50" t="inlineStr">
        <is>
          <t>TBC</t>
        </is>
      </c>
      <c r="H16" s="50" t="inlineStr">
        <is>
          <t>TBC</t>
        </is>
      </c>
      <c r="I16" s="51" t="inlineStr"/>
    </row>
    <row r="17" ht="34" customHeight="1">
      <c r="B17" s="34" t="inlineStr">
        <is>
          <t>Solar Open House: The Installation You Can Inspect</t>
        </is>
      </c>
      <c r="C17" s="35" t="inlineStr">
        <is>
          <t>Production / rights</t>
        </is>
      </c>
      <c r="D17" s="35" t="inlineStr">
        <is>
          <t>Approve venue, supplier, talent, media, permit and usage rights</t>
        </is>
      </c>
      <c r="E17" s="35" t="inlineStr">
        <is>
          <t>Client PM + production house</t>
        </is>
      </c>
      <c r="F17" s="35" t="inlineStr">
        <is>
          <t>Written confirmation</t>
        </is>
      </c>
      <c r="G17" s="35" t="inlineStr">
        <is>
          <t>TBC</t>
        </is>
      </c>
      <c r="H17" s="35" t="inlineStr">
        <is>
          <t>TBC</t>
        </is>
      </c>
      <c r="I17" s="52" t="inlineStr"/>
    </row>
    <row r="18" ht="34" customHeight="1">
      <c r="B18" s="24" t="inlineStr">
        <is>
          <t>Energy Champions Academy</t>
        </is>
      </c>
      <c r="C18" s="25" t="inlineStr">
        <is>
          <t>Strategy / scope</t>
        </is>
      </c>
      <c r="D18" s="25" t="inlineStr">
        <is>
          <t>Approve tension, audience, KPI and Recommended envelope</t>
        </is>
      </c>
      <c r="E18" s="50" t="inlineStr">
        <is>
          <t>Client marketing owner</t>
        </is>
      </c>
      <c r="F18" s="25" t="inlineStr">
        <is>
          <t>Brand / audience data</t>
        </is>
      </c>
      <c r="G18" s="50" t="inlineStr">
        <is>
          <t>TBC</t>
        </is>
      </c>
      <c r="H18" s="50" t="inlineStr">
        <is>
          <t>TBC</t>
        </is>
      </c>
      <c r="I18" s="51" t="inlineStr"/>
    </row>
    <row r="19" ht="34" customHeight="1">
      <c r="B19" s="34" t="inlineStr">
        <is>
          <t>Energy Champions Academy</t>
        </is>
      </c>
      <c r="C19" s="35" t="inlineStr">
        <is>
          <t>Claims / legal</t>
        </is>
      </c>
      <c r="D19" s="35" t="inlineStr">
        <is>
          <t>Approve evidence, message, CTA and data notice</t>
        </is>
      </c>
      <c r="E19" s="35" t="inlineStr">
        <is>
          <t>Client legal + technical</t>
        </is>
      </c>
      <c r="F19" s="35" t="inlineStr">
        <is>
          <t>Claim substantiation</t>
        </is>
      </c>
      <c r="G19" s="35" t="inlineStr">
        <is>
          <t>TBC</t>
        </is>
      </c>
      <c r="H19" s="35" t="inlineStr">
        <is>
          <t>TBC</t>
        </is>
      </c>
      <c r="I19" s="52" t="inlineStr"/>
    </row>
    <row r="20" ht="34" customHeight="1">
      <c r="B20" s="24" t="inlineStr">
        <is>
          <t>Energy Champions Academy</t>
        </is>
      </c>
      <c r="C20" s="25" t="inlineStr">
        <is>
          <t>Production / rights</t>
        </is>
      </c>
      <c r="D20" s="25" t="inlineStr">
        <is>
          <t>Approve venue, supplier, talent, media, permit and usage rights</t>
        </is>
      </c>
      <c r="E20" s="50" t="inlineStr">
        <is>
          <t>Client PM + production house</t>
        </is>
      </c>
      <c r="F20" s="25" t="inlineStr">
        <is>
          <t>Written confirmation</t>
        </is>
      </c>
      <c r="G20" s="50" t="inlineStr">
        <is>
          <t>TBC</t>
        </is>
      </c>
      <c r="H20" s="50" t="inlineStr">
        <is>
          <t>TBC</t>
        </is>
      </c>
      <c r="I20" s="51" t="inlineStr"/>
    </row>
    <row r="21" ht="34" customHeight="1">
      <c r="B21" s="34" t="inlineStr">
        <is>
          <t>Charge the Route</t>
        </is>
      </c>
      <c r="C21" s="35" t="inlineStr">
        <is>
          <t>Strategy / scope</t>
        </is>
      </c>
      <c r="D21" s="35" t="inlineStr">
        <is>
          <t>Approve tension, audience, KPI and Recommended envelope</t>
        </is>
      </c>
      <c r="E21" s="35" t="inlineStr">
        <is>
          <t>Client marketing owner</t>
        </is>
      </c>
      <c r="F21" s="35" t="inlineStr">
        <is>
          <t>Brand / audience data</t>
        </is>
      </c>
      <c r="G21" s="35" t="inlineStr">
        <is>
          <t>TBC</t>
        </is>
      </c>
      <c r="H21" s="35" t="inlineStr">
        <is>
          <t>TBC</t>
        </is>
      </c>
      <c r="I21" s="52" t="inlineStr"/>
    </row>
    <row r="22" ht="34" customHeight="1">
      <c r="B22" s="24" t="inlineStr">
        <is>
          <t>Charge the Route</t>
        </is>
      </c>
      <c r="C22" s="25" t="inlineStr">
        <is>
          <t>Claims / legal</t>
        </is>
      </c>
      <c r="D22" s="25" t="inlineStr">
        <is>
          <t>Approve evidence, message, CTA and data notice</t>
        </is>
      </c>
      <c r="E22" s="50" t="inlineStr">
        <is>
          <t>Client legal + technical</t>
        </is>
      </c>
      <c r="F22" s="25" t="inlineStr">
        <is>
          <t>Claim substantiation</t>
        </is>
      </c>
      <c r="G22" s="50" t="inlineStr">
        <is>
          <t>TBC</t>
        </is>
      </c>
      <c r="H22" s="50" t="inlineStr">
        <is>
          <t>TBC</t>
        </is>
      </c>
      <c r="I22" s="51" t="inlineStr"/>
    </row>
    <row r="23" ht="34" customHeight="1">
      <c r="B23" s="34" t="inlineStr">
        <is>
          <t>Charge the Route</t>
        </is>
      </c>
      <c r="C23" s="35" t="inlineStr">
        <is>
          <t>Production / rights</t>
        </is>
      </c>
      <c r="D23" s="35" t="inlineStr">
        <is>
          <t>Approve venue, supplier, talent, media, permit and usage rights</t>
        </is>
      </c>
      <c r="E23" s="35" t="inlineStr">
        <is>
          <t>Client PM + production house</t>
        </is>
      </c>
      <c r="F23" s="35" t="inlineStr">
        <is>
          <t>Written confirmation</t>
        </is>
      </c>
      <c r="G23" s="35" t="inlineStr">
        <is>
          <t>TBC</t>
        </is>
      </c>
      <c r="H23" s="35" t="inlineStr">
        <is>
          <t>TBC</t>
        </is>
      </c>
      <c r="I23" s="52" t="inlineStr"/>
    </row>
    <row r="24" ht="34" customHeight="1">
      <c r="B24" s="24" t="inlineStr">
        <is>
          <t>Light for What Matters</t>
        </is>
      </c>
      <c r="C24" s="25" t="inlineStr">
        <is>
          <t>Strategy / scope</t>
        </is>
      </c>
      <c r="D24" s="25" t="inlineStr">
        <is>
          <t>Approve tension, audience, KPI and Recommended envelope</t>
        </is>
      </c>
      <c r="E24" s="50" t="inlineStr">
        <is>
          <t>Client marketing owner</t>
        </is>
      </c>
      <c r="F24" s="25" t="inlineStr">
        <is>
          <t>Brand / audience data</t>
        </is>
      </c>
      <c r="G24" s="50" t="inlineStr">
        <is>
          <t>TBC</t>
        </is>
      </c>
      <c r="H24" s="50" t="inlineStr">
        <is>
          <t>TBC</t>
        </is>
      </c>
      <c r="I24" s="51" t="inlineStr"/>
    </row>
    <row r="25" ht="34" customHeight="1">
      <c r="B25" s="34" t="inlineStr">
        <is>
          <t>Light for What Matters</t>
        </is>
      </c>
      <c r="C25" s="35" t="inlineStr">
        <is>
          <t>Claims / legal</t>
        </is>
      </c>
      <c r="D25" s="35" t="inlineStr">
        <is>
          <t>Approve evidence, message, CTA and data notice</t>
        </is>
      </c>
      <c r="E25" s="35" t="inlineStr">
        <is>
          <t>Client legal + technical</t>
        </is>
      </c>
      <c r="F25" s="35" t="inlineStr">
        <is>
          <t>Claim substantiation</t>
        </is>
      </c>
      <c r="G25" s="35" t="inlineStr">
        <is>
          <t>TBC</t>
        </is>
      </c>
      <c r="H25" s="35" t="inlineStr">
        <is>
          <t>TBC</t>
        </is>
      </c>
      <c r="I25" s="52" t="inlineStr"/>
    </row>
    <row r="26" ht="34" customHeight="1">
      <c r="B26" s="24" t="inlineStr">
        <is>
          <t>Light for What Matters</t>
        </is>
      </c>
      <c r="C26" s="25" t="inlineStr">
        <is>
          <t>Production / rights</t>
        </is>
      </c>
      <c r="D26" s="25" t="inlineStr">
        <is>
          <t>Approve venue, supplier, talent, media, permit and usage rights</t>
        </is>
      </c>
      <c r="E26" s="50" t="inlineStr">
        <is>
          <t>Client PM + production house</t>
        </is>
      </c>
      <c r="F26" s="25" t="inlineStr">
        <is>
          <t>Written confirmation</t>
        </is>
      </c>
      <c r="G26" s="50" t="inlineStr">
        <is>
          <t>TBC</t>
        </is>
      </c>
      <c r="H26" s="50" t="inlineStr">
        <is>
          <t>TBC</t>
        </is>
      </c>
      <c r="I26" s="51" t="inlineStr"/>
    </row>
    <row r="27" ht="34" customHeight="1">
      <c r="B27" s="34" t="inlineStr">
        <is>
          <t>My Load, My Plan</t>
        </is>
      </c>
      <c r="C27" s="35" t="inlineStr">
        <is>
          <t>Strategy / scope</t>
        </is>
      </c>
      <c r="D27" s="35" t="inlineStr">
        <is>
          <t>Approve tension, audience, KPI and Recommended envelope</t>
        </is>
      </c>
      <c r="E27" s="35" t="inlineStr">
        <is>
          <t>Client marketing owner</t>
        </is>
      </c>
      <c r="F27" s="35" t="inlineStr">
        <is>
          <t>Brand / audience data</t>
        </is>
      </c>
      <c r="G27" s="35" t="inlineStr">
        <is>
          <t>TBC</t>
        </is>
      </c>
      <c r="H27" s="35" t="inlineStr">
        <is>
          <t>TBC</t>
        </is>
      </c>
      <c r="I27" s="52" t="inlineStr"/>
    </row>
    <row r="28" ht="34" customHeight="1">
      <c r="B28" s="24" t="inlineStr">
        <is>
          <t>My Load, My Plan</t>
        </is>
      </c>
      <c r="C28" s="25" t="inlineStr">
        <is>
          <t>Claims / legal</t>
        </is>
      </c>
      <c r="D28" s="25" t="inlineStr">
        <is>
          <t>Approve evidence, message, CTA and data notice</t>
        </is>
      </c>
      <c r="E28" s="50" t="inlineStr">
        <is>
          <t>Client legal + technical</t>
        </is>
      </c>
      <c r="F28" s="25" t="inlineStr">
        <is>
          <t>Claim substantiation</t>
        </is>
      </c>
      <c r="G28" s="50" t="inlineStr">
        <is>
          <t>TBC</t>
        </is>
      </c>
      <c r="H28" s="50" t="inlineStr">
        <is>
          <t>TBC</t>
        </is>
      </c>
      <c r="I28" s="51" t="inlineStr"/>
    </row>
    <row r="29" ht="34" customHeight="1">
      <c r="B29" s="34" t="inlineStr">
        <is>
          <t>My Load, My Plan</t>
        </is>
      </c>
      <c r="C29" s="35" t="inlineStr">
        <is>
          <t>Production / rights</t>
        </is>
      </c>
      <c r="D29" s="35" t="inlineStr">
        <is>
          <t>Approve venue, supplier, talent, media, permit and usage rights</t>
        </is>
      </c>
      <c r="E29" s="35" t="inlineStr">
        <is>
          <t>Client PM + production house</t>
        </is>
      </c>
      <c r="F29" s="35" t="inlineStr">
        <is>
          <t>Written confirmation</t>
        </is>
      </c>
      <c r="G29" s="35" t="inlineStr">
        <is>
          <t>TBC</t>
        </is>
      </c>
      <c r="H29" s="35" t="inlineStr">
        <is>
          <t>TBC</t>
        </is>
      </c>
      <c r="I29" s="52" t="inlineStr"/>
    </row>
    <row r="30" ht="34" customHeight="1">
      <c r="B30" s="24" t="inlineStr">
        <is>
          <t>The 100-Hour Question</t>
        </is>
      </c>
      <c r="C30" s="25" t="inlineStr">
        <is>
          <t>Strategy / scope</t>
        </is>
      </c>
      <c r="D30" s="25" t="inlineStr">
        <is>
          <t>Approve tension, audience, KPI and Recommended envelope</t>
        </is>
      </c>
      <c r="E30" s="50" t="inlineStr">
        <is>
          <t>Client marketing owner</t>
        </is>
      </c>
      <c r="F30" s="25" t="inlineStr">
        <is>
          <t>Brand / audience data</t>
        </is>
      </c>
      <c r="G30" s="50" t="inlineStr">
        <is>
          <t>TBC</t>
        </is>
      </c>
      <c r="H30" s="50" t="inlineStr">
        <is>
          <t>TBC</t>
        </is>
      </c>
      <c r="I30" s="51" t="inlineStr"/>
    </row>
    <row r="31" ht="34" customHeight="1">
      <c r="B31" s="34" t="inlineStr">
        <is>
          <t>The 100-Hour Question</t>
        </is>
      </c>
      <c r="C31" s="35" t="inlineStr">
        <is>
          <t>Claims / legal</t>
        </is>
      </c>
      <c r="D31" s="35" t="inlineStr">
        <is>
          <t>Approve evidence, message, CTA and data notice</t>
        </is>
      </c>
      <c r="E31" s="35" t="inlineStr">
        <is>
          <t>Client legal + technical</t>
        </is>
      </c>
      <c r="F31" s="35" t="inlineStr">
        <is>
          <t>Claim substantiation</t>
        </is>
      </c>
      <c r="G31" s="35" t="inlineStr">
        <is>
          <t>TBC</t>
        </is>
      </c>
      <c r="H31" s="35" t="inlineStr">
        <is>
          <t>TBC</t>
        </is>
      </c>
      <c r="I31" s="52" t="inlineStr"/>
    </row>
    <row r="32" ht="34" customHeight="1">
      <c r="B32" s="24" t="inlineStr">
        <is>
          <t>The 100-Hour Question</t>
        </is>
      </c>
      <c r="C32" s="25" t="inlineStr">
        <is>
          <t>Production / rights</t>
        </is>
      </c>
      <c r="D32" s="25" t="inlineStr">
        <is>
          <t>Approve venue, supplier, talent, media, permit and usage rights</t>
        </is>
      </c>
      <c r="E32" s="50" t="inlineStr">
        <is>
          <t>Client PM + production house</t>
        </is>
      </c>
      <c r="F32" s="25" t="inlineStr">
        <is>
          <t>Written confirmation</t>
        </is>
      </c>
      <c r="G32" s="50" t="inlineStr">
        <is>
          <t>TBC</t>
        </is>
      </c>
      <c r="H32" s="50" t="inlineStr">
        <is>
          <t>TBC</t>
        </is>
      </c>
      <c r="I32" s="51" t="inlineStr"/>
    </row>
    <row r="33" ht="34" customHeight="1">
      <c r="B33" s="34" t="inlineStr">
        <is>
          <t>Renewal Window</t>
        </is>
      </c>
      <c r="C33" s="35" t="inlineStr">
        <is>
          <t>Strategy / scope</t>
        </is>
      </c>
      <c r="D33" s="35" t="inlineStr">
        <is>
          <t>Approve tension, audience, KPI and Recommended envelope</t>
        </is>
      </c>
      <c r="E33" s="35" t="inlineStr">
        <is>
          <t>Client marketing owner</t>
        </is>
      </c>
      <c r="F33" s="35" t="inlineStr">
        <is>
          <t>Brand / audience data</t>
        </is>
      </c>
      <c r="G33" s="35" t="inlineStr">
        <is>
          <t>TBC</t>
        </is>
      </c>
      <c r="H33" s="35" t="inlineStr">
        <is>
          <t>TBC</t>
        </is>
      </c>
      <c r="I33" s="52" t="inlineStr"/>
    </row>
    <row r="34" ht="34" customHeight="1">
      <c r="B34" s="24" t="inlineStr">
        <is>
          <t>Renewal Window</t>
        </is>
      </c>
      <c r="C34" s="25" t="inlineStr">
        <is>
          <t>Claims / legal</t>
        </is>
      </c>
      <c r="D34" s="25" t="inlineStr">
        <is>
          <t>Approve evidence, message, CTA and data notice</t>
        </is>
      </c>
      <c r="E34" s="50" t="inlineStr">
        <is>
          <t>Client legal + technical</t>
        </is>
      </c>
      <c r="F34" s="25" t="inlineStr">
        <is>
          <t>Claim substantiation</t>
        </is>
      </c>
      <c r="G34" s="50" t="inlineStr">
        <is>
          <t>TBC</t>
        </is>
      </c>
      <c r="H34" s="50" t="inlineStr">
        <is>
          <t>TBC</t>
        </is>
      </c>
      <c r="I34" s="51" t="inlineStr"/>
    </row>
    <row r="35" ht="34" customHeight="1">
      <c r="B35" s="53" t="inlineStr">
        <is>
          <t>Renewal Window</t>
        </is>
      </c>
      <c r="C35" s="54" t="inlineStr">
        <is>
          <t>Production / rights</t>
        </is>
      </c>
      <c r="D35" s="54" t="inlineStr">
        <is>
          <t>Approve venue, supplier, talent, media, permit and usage rights</t>
        </is>
      </c>
      <c r="E35" s="54" t="inlineStr">
        <is>
          <t>Client PM + production house</t>
        </is>
      </c>
      <c r="F35" s="54" t="inlineStr">
        <is>
          <t>Written confirmation</t>
        </is>
      </c>
      <c r="G35" s="54" t="inlineStr">
        <is>
          <t>TBC</t>
        </is>
      </c>
      <c r="H35" s="54" t="inlineStr">
        <is>
          <t>TBC</t>
        </is>
      </c>
      <c r="I35" s="55" t="inlineStr"/>
    </row>
  </sheetData>
  <autoFilter ref="B5:I35"/>
  <mergeCells count="2">
    <mergeCell ref="B3:J3"/>
    <mergeCell ref="B2:J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11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24" customWidth="1" min="4" max="4"/>
    <col width="23" customWidth="1" min="5" max="5"/>
    <col width="22" customWidth="1" min="6" max="6"/>
    <col width="40" customWidth="1" min="7" max="7"/>
  </cols>
  <sheetData>
    <row r="2" ht="34" customHeight="1">
      <c r="B2" s="1" t="inlineStr">
        <is>
          <t>Planning Assumptions</t>
        </is>
      </c>
    </row>
    <row r="3" ht="30" customHeight="1">
      <c r="B3" s="2" t="inlineStr">
        <is>
          <t>All commercial outcome, cost and timeline inputs below are scenario parameters and should be replaced through client discovery and supplier quotations.</t>
        </is>
      </c>
    </row>
    <row r="5">
      <c r="B5" s="4" t="inlineStr">
        <is>
          <t>Assumption family</t>
        </is>
      </c>
      <c r="C5" s="23" t="inlineStr">
        <is>
          <t>Planning treatment</t>
        </is>
      </c>
      <c r="D5" s="23" t="inlineStr">
        <is>
          <t>Source / status</t>
        </is>
      </c>
      <c r="E5" s="23" t="inlineStr">
        <is>
          <t>Replacement needed</t>
        </is>
      </c>
      <c r="F5" s="23" t="inlineStr">
        <is>
          <t>Owner</t>
        </is>
      </c>
      <c r="G5" s="5" t="inlineStr">
        <is>
          <t>Notes</t>
        </is>
      </c>
    </row>
    <row r="6" ht="54" customHeight="1">
      <c r="B6" s="56" t="inlineStr">
        <is>
          <t>Market relevance</t>
        </is>
      </c>
      <c r="C6" s="57" t="inlineStr">
        <is>
          <t>Solar adoption / reliability context used only to frame the category.</t>
        </is>
      </c>
      <c r="D6" s="57" t="inlineStr">
        <is>
          <t>S01–S04 verified public sources</t>
        </is>
      </c>
      <c r="E6" s="58" t="inlineStr">
        <is>
          <t>No</t>
        </is>
      </c>
      <c r="F6" s="58" t="inlineStr">
        <is>
          <t>ZYNTH strategy</t>
        </is>
      </c>
      <c r="G6" s="59" t="inlineStr">
        <is>
          <t>No client product, performance or partnership claim inferred.</t>
        </is>
      </c>
    </row>
    <row r="7" ht="54" customHeight="1">
      <c r="B7" s="60" t="inlineStr">
        <is>
          <t>Calendar timing</t>
        </is>
      </c>
      <c r="C7" s="61" t="inlineStr">
        <is>
          <t>Thadingyut 25–27 Oct; Tazaungdaing 23–24 Nov; National Day 4 Dec; Christmas 25 Dec 2026.</t>
        </is>
      </c>
      <c r="D7" s="61" t="inlineStr">
        <is>
          <t>S05 official calendar</t>
        </is>
      </c>
      <c r="E7" s="61" t="inlineStr">
        <is>
          <t>Review before launch</t>
        </is>
      </c>
      <c r="F7" s="61" t="inlineStr">
        <is>
          <t>Client PM</t>
        </is>
      </c>
      <c r="G7" s="62" t="inlineStr">
        <is>
          <t>Timing cue only; no rights, permit or public-activation entitlement.</t>
        </is>
      </c>
    </row>
    <row r="8" ht="54" customHeight="1">
      <c r="B8" s="56" t="inlineStr">
        <is>
          <t>Budget packages</t>
        </is>
      </c>
      <c r="C8" s="57" t="inlineStr">
        <is>
          <t>Lean, Recommended and Flagship are non-binding MMK planning envelopes.</t>
        </is>
      </c>
      <c r="D8" s="57" t="inlineStr">
        <is>
          <t>ZYNTH planning input</t>
        </is>
      </c>
      <c r="E8" s="58" t="inlineStr">
        <is>
          <t>Yes—supplier quotes / tax</t>
        </is>
      </c>
      <c r="F8" s="58" t="inlineStr">
        <is>
          <t>Client procurement</t>
        </is>
      </c>
      <c r="G8" s="59" t="inlineStr">
        <is>
          <t>Tax excluded/TBC; contingency requires client release.</t>
        </is>
      </c>
    </row>
    <row r="9" ht="54" customHeight="1">
      <c r="B9" s="60" t="inlineStr">
        <is>
          <t>Commercial scenario</t>
        </is>
      </c>
      <c r="C9" s="61" t="inlineStr">
        <is>
          <t>Qualified leads, close rates and incremental contribution are formula inputs.</t>
        </is>
      </c>
      <c r="D9" s="61" t="inlineStr">
        <is>
          <t>ZYNTH planning input</t>
        </is>
      </c>
      <c r="E9" s="61" t="inlineStr">
        <is>
          <t>Yes—client funnel and margin data</t>
        </is>
      </c>
      <c r="F9" s="61" t="inlineStr">
        <is>
          <t>Client commercial owner</t>
        </is>
      </c>
      <c r="G9" s="62" t="inlineStr">
        <is>
          <t>No revenue, ROI or payback guarantee.</t>
        </is>
      </c>
    </row>
    <row r="10" ht="54" customHeight="1">
      <c r="B10" s="56" t="inlineStr">
        <is>
          <t>Production resource</t>
        </is>
      </c>
      <c r="C10" s="57" t="inlineStr">
        <is>
          <t>Venue, talent, production house, supplier, media, permits and engineering.</t>
        </is>
      </c>
      <c r="D10" s="57" t="inlineStr">
        <is>
          <t>Proposed/TBC</t>
        </is>
      </c>
      <c r="E10" s="58" t="inlineStr">
        <is>
          <t>Yes—written confirmation</t>
        </is>
      </c>
      <c r="F10" s="58" t="inlineStr">
        <is>
          <t>Client PM</t>
        </is>
      </c>
      <c r="G10" s="59" t="inlineStr">
        <is>
          <t>No contact, commission or appointment invented.</t>
        </is>
      </c>
    </row>
    <row r="11" ht="54" customHeight="1">
      <c r="B11" s="63" t="inlineStr">
        <is>
          <t>Rights and data</t>
        </is>
      </c>
      <c r="C11" s="64" t="inlineStr">
        <is>
          <t>Usage term, territory, consent, privacy, retention and access controls.</t>
        </is>
      </c>
      <c r="D11" s="64" t="inlineStr">
        <is>
          <t>Client legal policy required</t>
        </is>
      </c>
      <c r="E11" s="64" t="inlineStr">
        <is>
          <t>Yes—legal/data approval</t>
        </is>
      </c>
      <c r="F11" s="64" t="inlineStr">
        <is>
          <t>Client legal/data owner</t>
        </is>
      </c>
      <c r="G11" s="65" t="inlineStr">
        <is>
          <t>No personal-data processing before lawful-basis confirmation.</t>
        </is>
      </c>
    </row>
  </sheetData>
  <mergeCells count="2">
    <mergeCell ref="B3:H3"/>
    <mergeCell ref="B2:H2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11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3" customWidth="1" min="3" max="3"/>
    <col width="16" customWidth="1" min="4" max="4"/>
    <col width="19" customWidth="1" min="5" max="5"/>
    <col width="42" customWidth="1" min="6" max="6"/>
    <col width="42" customWidth="1" min="7" max="7"/>
    <col width="60" customWidth="1" min="8" max="8"/>
  </cols>
  <sheetData>
    <row r="2" ht="34" customHeight="1">
      <c r="B2" s="1" t="inlineStr">
        <is>
          <t>Verified Source Log</t>
        </is>
      </c>
    </row>
    <row r="3" ht="30" customHeight="1">
      <c r="B3" s="2" t="inlineStr">
        <is>
          <t>Source findings are bounded by the stated limitations. No source is an endorsement, permit, supplier quotation or partner agreement.</t>
        </is>
      </c>
    </row>
    <row r="5">
      <c r="B5" s="4" t="inlineStr">
        <is>
          <t>ID</t>
        </is>
      </c>
      <c r="C5" s="23" t="inlineStr">
        <is>
          <t>Source</t>
        </is>
      </c>
      <c r="D5" s="23" t="inlineStr">
        <is>
          <t>Date / access</t>
        </is>
      </c>
      <c r="E5" s="23" t="inlineStr">
        <is>
          <t>Type</t>
        </is>
      </c>
      <c r="F5" s="23" t="inlineStr">
        <is>
          <t>Retained finding</t>
        </is>
      </c>
      <c r="G5" s="23" t="inlineStr">
        <is>
          <t>Use limitation</t>
        </is>
      </c>
      <c r="H5" s="5" t="inlineStr">
        <is>
          <t>URL</t>
        </is>
      </c>
    </row>
    <row r="6" ht="60" customHeight="1">
      <c r="B6" s="66" t="inlineStr">
        <is>
          <t>S01</t>
        </is>
      </c>
      <c r="C6" s="67" t="inlineStr">
        <is>
          <t>Reuters</t>
        </is>
      </c>
      <c r="D6" s="67" t="inlineStr">
        <is>
          <t>14 Nov 2025</t>
        </is>
      </c>
      <c r="E6" s="67" t="inlineStr">
        <is>
          <t>International media</t>
        </is>
      </c>
      <c r="F6" s="67" t="inlineStr">
        <is>
          <t>Reports household/business solar adoption amid unreliable electricity and cited import context.</t>
        </is>
      </c>
      <c r="G6" s="67" t="inlineStr">
        <is>
          <t>Context only; no individual interview used as testimonial or forecast.</t>
        </is>
      </c>
      <c r="H6" s="68" t="inlineStr">
        <is>
          <t>https://www.reuters.com/sustainability/climate-energy/war-torn-myanmar-embraces-solar-tackle-power-crisis-2025-11-14/</t>
        </is>
      </c>
    </row>
    <row r="7" ht="60" customHeight="1">
      <c r="B7" s="69" t="inlineStr">
        <is>
          <t>S02</t>
        </is>
      </c>
      <c r="C7" s="70" t="inlineStr">
        <is>
          <t>Xinhua</t>
        </is>
      </c>
      <c r="D7" s="70" t="inlineStr">
        <is>
          <t>18 Jan 2026</t>
        </is>
      </c>
      <c r="E7" s="70" t="inlineStr">
        <is>
          <t>Dated media/event coverage</t>
        </is>
      </c>
      <c r="F7" s="70" t="inlineStr">
        <is>
          <t>Reports a January 2026 Yangon solar-expo precedent and product-category presence.</t>
        </is>
      </c>
      <c r="G7" s="70" t="inlineStr">
        <is>
          <t>Historical precedent only; no 2026 Q4 repeat, rights, venue or sponsor claim.</t>
        </is>
      </c>
      <c r="H7" s="71" t="inlineStr">
        <is>
          <t>https://english.news.cn/20260118/765dc93ac49a481d8ffbcc1972c01516/c.html</t>
        </is>
      </c>
    </row>
    <row r="8" ht="60" customHeight="1">
      <c r="B8" s="66" t="inlineStr">
        <is>
          <t>S03</t>
        </is>
      </c>
      <c r="C8" s="67" t="inlineStr">
        <is>
          <t>Smart Power Myanmar</t>
        </is>
      </c>
      <c r="D8" s="67" t="inlineStr">
        <is>
          <t>21 Aug 2026</t>
        </is>
      </c>
      <c r="E8" s="67" t="inlineStr">
        <is>
          <t>Local-sector provider</t>
        </is>
      </c>
      <c r="F8" s="67" t="inlineStr">
        <is>
          <t>Published journey from loan application to installation.</t>
        </is>
      </c>
      <c r="G8" s="67" t="inlineStr">
        <is>
          <t>Supplier self-statements; no partnership or benchmark implied.</t>
        </is>
      </c>
      <c r="H8" s="68" t="inlineStr">
        <is>
          <t>https://www.smartpowermyanmar.org/</t>
        </is>
      </c>
    </row>
    <row r="9" ht="60" customHeight="1">
      <c r="B9" s="69" t="inlineStr">
        <is>
          <t>S04</t>
        </is>
      </c>
      <c r="C9" s="70" t="inlineStr">
        <is>
          <t>Global New Light of Myanmar</t>
        </is>
      </c>
      <c r="D9" s="70" t="inlineStr">
        <is>
          <t>25 Jul 2026</t>
        </is>
      </c>
      <c r="E9" s="70" t="inlineStr">
        <is>
          <t>Official-state publisher</t>
        </is>
      </c>
      <c r="F9" s="70" t="inlineStr">
        <is>
          <t>Published public context on solar utilisation and technology-management discussion.</t>
        </is>
      </c>
      <c r="G9" s="70" t="inlineStr">
        <is>
          <t>Context only; not a permit, project approval or endorsement.</t>
        </is>
      </c>
      <c r="H9" s="71" t="inlineStr">
        <is>
          <t>https://www.gnlm.com.mm/efficiently-generate-solar-energy-for-the-state/</t>
        </is>
      </c>
    </row>
    <row r="10" ht="60" customHeight="1">
      <c r="B10" s="66" t="inlineStr">
        <is>
          <t>S05</t>
        </is>
      </c>
      <c r="C10" s="67" t="inlineStr">
        <is>
          <t>MOFA / Myanmar National Portal</t>
        </is>
      </c>
      <c r="D10" s="67" t="inlineStr">
        <is>
          <t>21 Aug 2026</t>
        </is>
      </c>
      <c r="E10" s="67" t="inlineStr">
        <is>
          <t>Official calendar</t>
        </is>
      </c>
      <c r="F10" s="67" t="inlineStr">
        <is>
          <t>Lists 2026 Q4 holiday timing.</t>
        </is>
      </c>
      <c r="G10" s="67" t="inlineStr">
        <is>
          <t>Timing cue only; no sponsor/public-activation/permit right.</t>
        </is>
      </c>
      <c r="H10" s="68" t="inlineStr">
        <is>
          <t>https://www.mofa.gov.mm/about-myanmar/public-holidays/</t>
        </is>
      </c>
    </row>
    <row r="11" ht="60" customHeight="1">
      <c r="B11" s="72" t="inlineStr">
        <is>
          <t>S06</t>
        </is>
      </c>
      <c r="C11" s="73" t="inlineStr">
        <is>
          <t>Livoltek YouTube expo video</t>
        </is>
      </c>
      <c r="D11" s="73" t="inlineStr">
        <is>
          <t>21 Aug 2026</t>
        </is>
      </c>
      <c r="E11" s="73" t="inlineStr">
        <is>
          <t>First-hand exhibitor video</t>
        </is>
      </c>
      <c r="F11" s="73" t="inlineStr">
        <is>
          <t>Visual reference for demo/booth format and product-display types.</t>
        </is>
      </c>
      <c r="G11" s="73" t="inlineStr">
        <is>
          <t>Conflicting dates excluded; no future availability, performance or rights claim.</t>
        </is>
      </c>
      <c r="H11" s="74" t="inlineStr">
        <is>
          <t>https://www.youtube.com/watch?v=9-S7urcEX2U</t>
        </is>
      </c>
    </row>
  </sheetData>
  <autoFilter ref="B5:H11"/>
  <mergeCells count="2">
    <mergeCell ref="B3:H3"/>
    <mergeCell ref="B2:H2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</hyperlink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12"/>
  <sheetViews>
    <sheetView showGridLines="0" zoomScale="8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2" customWidth="1" min="3" max="3"/>
    <col width="28" customWidth="1" min="4" max="4"/>
    <col width="32" customWidth="1" min="5" max="5"/>
    <col width="54" customWidth="1" min="6" max="6"/>
  </cols>
  <sheetData>
    <row r="2" ht="34" customHeight="1">
      <c r="B2" s="1" t="inlineStr">
        <is>
          <t>Deliverable Inventory</t>
        </is>
      </c>
    </row>
    <row r="3" ht="30" customHeight="1">
      <c r="B3" s="2" t="inlineStr">
        <is>
          <t>Inventory is generated with the batch. Hashes and destination URLs are captured in the separate JSON source manifest after final QA/synchronisation.</t>
        </is>
      </c>
    </row>
    <row r="5">
      <c r="B5" s="4" t="inlineStr">
        <is>
          <t>Category</t>
        </is>
      </c>
      <c r="C5" s="23" t="inlineStr">
        <is>
          <t>Count</t>
        </is>
      </c>
      <c r="D5" s="23" t="inlineStr">
        <is>
          <t>Status</t>
        </is>
      </c>
      <c r="E5" s="23" t="inlineStr">
        <is>
          <t>Destination status</t>
        </is>
      </c>
      <c r="F5" s="5" t="inlineStr">
        <is>
          <t>Notes</t>
        </is>
      </c>
    </row>
    <row r="6" ht="38" customHeight="1">
      <c r="B6" s="56" t="inlineStr">
        <is>
          <t>English Word proposals</t>
        </is>
      </c>
      <c r="C6" s="75" t="n">
        <v>20</v>
      </c>
      <c r="D6" s="57" t="inlineStr">
        <is>
          <t>Created</t>
        </is>
      </c>
      <c r="E6" s="57" t="inlineStr">
        <is>
          <t>Pending Drive / GitHub</t>
        </is>
      </c>
      <c r="F6" s="76" t="inlineStr">
        <is>
          <t>One standalone English proposal per concept.</t>
        </is>
      </c>
    </row>
    <row r="7" ht="38" customHeight="1">
      <c r="B7" s="60" t="inlineStr">
        <is>
          <t>Visual design previews</t>
        </is>
      </c>
      <c r="C7" s="77" t="n">
        <v>18</v>
      </c>
      <c r="D7" s="61" t="inlineStr">
        <is>
          <t>Created</t>
        </is>
      </c>
      <c r="E7" s="61" t="inlineStr">
        <is>
          <t>Pending Drive / GitHub</t>
        </is>
      </c>
      <c r="F7" s="62" t="inlineStr">
        <is>
          <t>8 physical concepts × sketch + 3D-style; 2 digital UI storyboards.</t>
        </is>
      </c>
    </row>
    <row r="8" ht="38" customHeight="1">
      <c r="B8" s="56" t="inlineStr">
        <is>
          <t>Editable SVG design sources</t>
        </is>
      </c>
      <c r="C8" s="75" t="n">
        <v>18</v>
      </c>
      <c r="D8" s="57" t="inlineStr">
        <is>
          <t>Created</t>
        </is>
      </c>
      <c r="E8" s="57" t="inlineStr">
        <is>
          <t>Pending Drive / GitHub</t>
        </is>
      </c>
      <c r="F8" s="76" t="inlineStr">
        <is>
          <t>Vector source files matched to every client preview.</t>
        </is>
      </c>
    </row>
    <row r="9" ht="38" customHeight="1">
      <c r="B9" s="60" t="inlineStr">
        <is>
          <t>Research / source files</t>
        </is>
      </c>
      <c r="C9" s="77" t="n">
        <v>6</v>
      </c>
      <c r="D9" s="61" t="inlineStr">
        <is>
          <t>Created</t>
        </is>
      </c>
      <c r="E9" s="61" t="inlineStr">
        <is>
          <t>Pending Drive / GitHub</t>
        </is>
      </c>
      <c r="F9" s="62" t="inlineStr">
        <is>
          <t>Verified notes, video evidence, data, scripts and registry update.</t>
        </is>
      </c>
    </row>
    <row r="10" ht="38" customHeight="1">
      <c r="B10" s="56" t="inlineStr">
        <is>
          <t>Monitoring workbook</t>
        </is>
      </c>
      <c r="C10" s="75" t="n">
        <v>1</v>
      </c>
      <c r="D10" s="57" t="inlineStr">
        <is>
          <t>Created</t>
        </is>
      </c>
      <c r="E10" s="57" t="inlineStr">
        <is>
          <t>Pending Drive / GitHub</t>
        </is>
      </c>
      <c r="F10" s="76" t="inlineStr">
        <is>
          <t>This file.</t>
        </is>
      </c>
    </row>
    <row r="11" ht="38" customHeight="1">
      <c r="B11" s="60" t="inlineStr">
        <is>
          <t>Source manifest</t>
        </is>
      </c>
      <c r="C11" s="77" t="n">
        <v>1</v>
      </c>
      <c r="D11" s="61" t="inlineStr">
        <is>
          <t>Pending final QA</t>
        </is>
      </c>
      <c r="E11" s="61" t="inlineStr">
        <is>
          <t>Pending Drive / GitHub</t>
        </is>
      </c>
      <c r="F11" s="62" t="inlineStr">
        <is>
          <t>Will include hashes and actual destination status.</t>
        </is>
      </c>
    </row>
    <row r="12" ht="38" customHeight="1">
      <c r="B12" s="78" t="inlineStr">
        <is>
          <t>Command Center callback</t>
        </is>
      </c>
      <c r="C12" s="79" t="n">
        <v>1</v>
      </c>
      <c r="D12" s="80" t="inlineStr">
        <is>
          <t>Environment check needed</t>
        </is>
      </c>
      <c r="E12" s="80" t="inlineStr">
        <is>
          <t>Not configured until injected variables present</t>
        </is>
      </c>
      <c r="F12" s="81" t="inlineStr">
        <is>
          <t>Only approved scheduled-task variables may be used.</t>
        </is>
      </c>
    </row>
  </sheetData>
  <mergeCells count="2">
    <mergeCell ref="B3:H3"/>
    <mergeCell ref="B2:H2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2026-08-21T03:30:38Z</dcterms:created>
  <dcterms:modified xmlns:dcterms="http://purl.org/dc/terms/" xmlns:xsi="http://www.w3.org/2001/XMLSchema-instance" xsi:type="dcterms:W3CDTF">2026-08-21T03:30:38Z</dcterms:modified>
</cp:coreProperties>
</file>