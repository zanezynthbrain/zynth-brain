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ommercials" sheetId="3" state="visible" r:id="rId3"/>
    <sheet xmlns:r="http://schemas.openxmlformats.org/officeDocument/2006/relationships" name="Research" sheetId="4" state="visible" r:id="rId4"/>
    <sheet xmlns:r="http://schemas.openxmlformats.org/officeDocument/2006/relationships" name="Decision_Gates" sheetId="5" state="visible" r:id="rId5"/>
    <sheet xmlns:r="http://schemas.openxmlformats.org/officeDocument/2006/relationships" name="Portfolio_Input" sheetId="6" state="visible" r:id="rId6"/>
  </sheets>
  <definedNames>
    <definedName name="_xlnm._FilterDatabase" localSheetId="1" hidden="1">'Campaigns'!$B$6:$U$16</definedName>
    <definedName name="_xlnm._FilterDatabase" localSheetId="2" hidden="1">'Commercials'!$B$6:$Q$16</definedName>
    <definedName name="_xlnm._FilterDatabase" localSheetId="3" hidden="1">'Research'!$B$6:$J$15</definedName>
    <definedName name="_xlnm._FilterDatabase" localSheetId="4" hidden="1">'Decision_Gates'!$B$6:$J$36</definedName>
    <definedName name="_xlnm._FilterDatabase" localSheetId="5" hidden="1">'Portfolio_Input'!$B$6:$M$26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K #,##0"/>
  </numFmts>
  <fonts count="9">
    <font>
      <name val="Calibri"/>
      <family val="2"/>
      <color theme="1"/>
      <sz val="11"/>
      <scheme val="minor"/>
    </font>
    <font>
      <name val="Georgia"/>
      <b val="1"/>
      <color rgb="005D4037"/>
      <sz val="20"/>
    </font>
    <font>
      <name val="Calibri"/>
      <i val="1"/>
      <color rgb="00666666"/>
      <sz val="9"/>
    </font>
    <font>
      <name val="Georgia"/>
      <b val="1"/>
      <color rgb="005D4037"/>
      <sz val="13"/>
    </font>
    <font>
      <name val="Georgia"/>
      <b val="1"/>
      <color rgb="005D4037"/>
      <sz val="10"/>
    </font>
    <font>
      <name val="Georgia"/>
      <b val="1"/>
      <color rgb="001A6A68"/>
      <sz val="18"/>
    </font>
    <font>
      <name val="Calibri"/>
      <b val="1"/>
      <color rgb="00FFFFFF"/>
      <sz val="10"/>
    </font>
    <font>
      <name val="Calibri"/>
      <color rgb="001F2933"/>
      <sz val="10"/>
    </font>
    <font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6DDD9"/>
      </patternFill>
    </fill>
    <fill>
      <patternFill patternType="solid">
        <fgColor rgb="00FFFFFF"/>
      </patternFill>
    </fill>
    <fill>
      <patternFill patternType="solid">
        <fgColor rgb="005D4037"/>
      </patternFill>
    </fill>
    <fill>
      <patternFill patternType="solid">
        <fgColor rgb="00FFF8F2"/>
      </patternFill>
    </fill>
  </fills>
  <borders count="3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  <border>
      <left style="thin">
        <color rgb="00D6D6D6"/>
      </left>
      <right style="thin">
        <color rgb="00D6D6D6"/>
      </right>
      <top style="medium">
        <color rgb="005D4037"/>
      </top>
      <bottom style="medium">
        <color rgb="005D403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164" fontId="7" fillId="3" borderId="1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164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Campaign Planning Envelope (MMK)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'Campaigns'!M6</f>
            </strRef>
          </tx>
          <spPr>
            <a:solidFill xmlns:a="http://schemas.openxmlformats.org/drawingml/2006/main">
              <a:srgbClr val="A75E2B"/>
            </a:solidFill>
            <a:ln xmlns:a="http://schemas.openxmlformats.org/drawingml/2006/main">
              <a:prstDash val="solid"/>
            </a:ln>
          </spPr>
          <cat>
            <numRef>
              <f>'Campaigns'!$C$7:$C$16</f>
            </numRef>
          </cat>
          <val>
            <numRef>
              <f>'Campaigns'!$M$7:$M$16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s.usda.gov/data/gain/2025/02/burma-food-service-hotel-restaurant-institutional" TargetMode="External" Id="rId1"/><Relationship Type="http://schemas.openxmlformats.org/officeDocument/2006/relationships/hyperlink" Target="https://english.news.cn/20260726/49ff2f8a557b4825a58978e89ccccc61/c.html" TargetMode="External" Id="rId2"/><Relationship Type="http://schemas.openxmlformats.org/officeDocument/2006/relationships/hyperlink" Target="https://myanmar.gov.mm/upcoming-holidays" TargetMode="External" Id="rId3"/><Relationship Type="http://schemas.openxmlformats.org/officeDocument/2006/relationships/hyperlink" Target="https://evisa.moip.gov.mm/notice/public-holiday" TargetMode="External" Id="rId4"/><Relationship Type="http://schemas.openxmlformats.org/officeDocument/2006/relationships/hyperlink" Target="https://www.tilleke.com/insights/myanmar-language-labeling-required-wide-range-products/" TargetMode="External" Id="rId5"/><Relationship Type="http://schemas.openxmlformats.org/officeDocument/2006/relationships/hyperlink" Target="https://www.myanmaritv.com/news/tastes-golden-land-myanmar-traditional-food-competition-and-exhibition" TargetMode="External" Id="rId6"/><Relationship Type="http://schemas.openxmlformats.org/officeDocument/2006/relationships/hyperlink" Target="https://www.moi.gov.mm/moi%3Aeng/news/21664" TargetMode="External" Id="rId7"/><Relationship Type="http://schemas.openxmlformats.org/officeDocument/2006/relationships/hyperlink" Target="https://www.gnlm.com.mm/myanmar-urged-to-cultivate-signature-foods/" TargetMode="External" Id="rId8"/><Relationship Type="http://schemas.openxmlformats.org/officeDocument/2006/relationships/hyperlink" Target="https://www.youtube.com/watch?v=mbh1472c2HI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6" customWidth="1" min="3" max="3"/>
    <col width="3" customWidth="1" min="4" max="4"/>
    <col width="25" customWidth="1" min="5" max="5"/>
    <col width="16" customWidth="1" min="6" max="6"/>
    <col width="3" customWidth="1" min="7" max="7"/>
    <col width="25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" t="n"/>
      <c r="B2" s="1" t="inlineStr">
        <is>
          <t>ZYNTH F&amp;B Two-Hour Batch — Command View</t>
        </is>
      </c>
      <c r="C2" s="1" t="n"/>
      <c r="D2" s="1" t="n"/>
      <c r="E2" s="1" t="n"/>
      <c r="F2" s="1" t="n"/>
      <c r="G2" s="1" t="n"/>
      <c r="H2" s="1" t="n"/>
      <c r="I2" s="1" t="n"/>
    </row>
    <row r="3" ht="28" customHeight="1">
      <c r="A3" s="1" t="n"/>
      <c r="B3" s="1" t="inlineStr">
        <is>
          <t>Batch: ZYNTH-20260821-FNB-BILINGUAL | Created 2026-08-21 UTC | All amounts/scenarios are non-tax planning assumptions, not quotes or guarantees.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inlineStr">
        <is>
          <t>LIVE PORTFOLIO SNAPSHOT</t>
        </is>
      </c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22" customHeight="1">
      <c r="A7" s="1" t="n"/>
      <c r="B7" s="2" t="inlineStr">
        <is>
          <t>Campaign proposals</t>
        </is>
      </c>
      <c r="C7" s="3" t="n"/>
      <c r="D7" s="1" t="n"/>
      <c r="E7" s="2" t="inlineStr">
        <is>
          <t>Commercial concepts</t>
        </is>
      </c>
      <c r="F7" s="3" t="n"/>
      <c r="G7" s="1" t="n"/>
      <c r="H7" s="2" t="inlineStr">
        <is>
          <t>Storyboard frames</t>
        </is>
      </c>
      <c r="I7" s="3" t="n"/>
    </row>
    <row r="8" ht="22" customHeight="1">
      <c r="A8" s="1" t="n"/>
      <c r="B8" s="4">
        <f>COUNTA(Campaigns!B7:B16)</f>
        <v/>
      </c>
      <c r="C8" s="3" t="n"/>
      <c r="D8" s="1" t="n"/>
      <c r="E8" s="4">
        <f>COUNTA(Commercials!B7:B16)</f>
        <v/>
      </c>
      <c r="F8" s="3" t="n"/>
      <c r="G8" s="1" t="n"/>
      <c r="H8" s="4">
        <f>SUM(Commercials!L7:L16)</f>
        <v/>
      </c>
      <c r="I8" s="3" t="n"/>
    </row>
    <row r="9" ht="22" customHeight="1">
      <c r="A9" s="1" t="n"/>
      <c r="B9" s="3" t="inlineStr">
        <is>
          <t>Ten client-ready campaign / activation concepts</t>
        </is>
      </c>
      <c r="C9" s="3" t="n"/>
      <c r="D9" s="1" t="n"/>
      <c r="E9" s="3" t="inlineStr">
        <is>
          <t>Ten separate commercial ideas</t>
        </is>
      </c>
      <c r="F9" s="3" t="n"/>
      <c r="G9" s="1" t="n"/>
      <c r="H9" s="3" t="inlineStr">
        <is>
          <t>Twelve detailed frames per concept</t>
        </is>
      </c>
      <c r="I9" s="3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22" customHeight="1">
      <c r="A11" s="1" t="n"/>
      <c r="B11" s="2" t="inlineStr">
        <is>
          <t>Research sources logged</t>
        </is>
      </c>
      <c r="C11" s="3" t="n"/>
      <c r="D11" s="1" t="n"/>
      <c r="E11" s="2" t="inlineStr">
        <is>
          <t>Recommended portfolio budget</t>
        </is>
      </c>
      <c r="F11" s="3" t="n"/>
      <c r="G11" s="1" t="n"/>
      <c r="H11" s="2" t="inlineStr">
        <is>
          <t>Pending human approvals</t>
        </is>
      </c>
      <c r="I11" s="3" t="n"/>
    </row>
    <row r="12" ht="22" customHeight="1">
      <c r="A12" s="1" t="n"/>
      <c r="B12" s="4">
        <f>COUNTA(Research!B7:B16)</f>
        <v/>
      </c>
      <c r="C12" s="3" t="n"/>
      <c r="D12" s="1" t="n"/>
      <c r="E12" s="5">
        <f>SUM(Campaigns!N7:N16)</f>
        <v/>
      </c>
      <c r="F12" s="3" t="n"/>
      <c r="G12" s="1" t="n"/>
      <c r="H12" s="4">
        <f>COUNTIF(Decision_Gates!H7:H36,"Pending")</f>
        <v/>
      </c>
      <c r="I12" s="3" t="n"/>
    </row>
    <row r="13" ht="22" customHeight="1">
      <c r="A13" s="1" t="n"/>
      <c r="B13" s="3" t="inlineStr">
        <is>
          <t>Public/context sources; use limitations recorded</t>
        </is>
      </c>
      <c r="C13" s="3" t="n"/>
      <c r="D13" s="1" t="n"/>
      <c r="E13" s="3" t="inlineStr">
        <is>
          <t>MMK; non-tax planning envelope</t>
        </is>
      </c>
      <c r="F13" s="3" t="n"/>
      <c r="G13" s="1" t="n"/>
      <c r="H13" s="3" t="inlineStr">
        <is>
          <t>Required before production or external action</t>
        </is>
      </c>
      <c r="I13" s="3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inlineStr">
        <is>
          <t>KEY USE RULES</t>
        </is>
      </c>
      <c r="C20" s="1" t="n"/>
      <c r="D20" s="1" t="n"/>
      <c r="E20" s="1" t="n"/>
      <c r="F20" s="1" t="n"/>
      <c r="G20" s="1" t="n"/>
      <c r="H20" s="1" t="n"/>
      <c r="I20" s="1" t="n"/>
    </row>
    <row r="21" ht="24" customHeight="1">
      <c r="A21" s="1" t="n"/>
      <c r="B21" s="1" t="inlineStr">
        <is>
          <t>• Keep the same CMP/COM IDs and update their current version rather than starting a new workbook.</t>
        </is>
      </c>
      <c r="C21" s="1" t="n"/>
      <c r="D21" s="1" t="n"/>
      <c r="E21" s="1" t="n"/>
      <c r="F21" s="1" t="n"/>
      <c r="G21" s="1" t="n"/>
      <c r="H21" s="1" t="n"/>
      <c r="I21" s="1" t="n"/>
    </row>
    <row r="22" ht="24" customHeight="1">
      <c r="A22" s="1" t="n"/>
      <c r="B22" s="1" t="inlineStr">
        <is>
          <t>• Scenario values require client funnel, margin, capacity, inventory and attribution data before commercial approval.</t>
        </is>
      </c>
      <c r="C22" s="1" t="n"/>
      <c r="D22" s="1" t="n"/>
      <c r="E22" s="1" t="n"/>
      <c r="F22" s="1" t="n"/>
      <c r="G22" s="1" t="n"/>
      <c r="H22" s="1" t="n"/>
      <c r="I22" s="1" t="n"/>
    </row>
    <row r="23" ht="24" customHeight="1">
      <c r="A23" s="1" t="n"/>
      <c r="B23" s="1" t="inlineStr">
        <is>
          <t>• No client, venue, chef, sponsor, product claim, price, availability, safety, food label, permit, partnership, right or legal status is confirmed by this batch.</t>
        </is>
      </c>
      <c r="C23" s="1" t="n"/>
      <c r="D23" s="1" t="n"/>
      <c r="E23" s="1" t="n"/>
      <c r="F23" s="1" t="n"/>
      <c r="G23" s="1" t="n"/>
      <c r="H23" s="1" t="n"/>
      <c r="I23" s="1" t="n"/>
    </row>
    <row r="24" ht="24" customHeight="1">
      <c r="A24" s="1" t="n"/>
      <c r="B24" s="1" t="inlineStr">
        <is>
          <t>• Use the G0–G7 gate register for human decisions; no external activity proceeds without the named owner.</t>
        </is>
      </c>
      <c r="C24" s="1" t="n"/>
      <c r="D24" s="1" t="n"/>
      <c r="E24" s="1" t="n"/>
      <c r="F24" s="1" t="n"/>
      <c r="G24" s="1" t="n"/>
      <c r="H24" s="1" t="n"/>
      <c r="I24" s="1" t="n"/>
    </row>
  </sheetData>
  <mergeCells count="24">
    <mergeCell ref="E12:F12"/>
    <mergeCell ref="B7:C7"/>
    <mergeCell ref="B3:I3"/>
    <mergeCell ref="B22:I22"/>
    <mergeCell ref="H9:I9"/>
    <mergeCell ref="E8:F8"/>
    <mergeCell ref="B12:C12"/>
    <mergeCell ref="B21:I21"/>
    <mergeCell ref="B11:C11"/>
    <mergeCell ref="B2:I2"/>
    <mergeCell ref="E13:F13"/>
    <mergeCell ref="B23:I23"/>
    <mergeCell ref="E9:F9"/>
    <mergeCell ref="B8:C8"/>
    <mergeCell ref="B13:C13"/>
    <mergeCell ref="H11:I11"/>
    <mergeCell ref="H7:I7"/>
    <mergeCell ref="E11:F11"/>
    <mergeCell ref="B9:C9"/>
    <mergeCell ref="H13:I13"/>
    <mergeCell ref="H12:I12"/>
    <mergeCell ref="E7:F7"/>
    <mergeCell ref="B24:I24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28" customWidth="1" min="4" max="4"/>
    <col width="26" customWidth="1" min="5" max="5"/>
    <col width="35" customWidth="1" min="6" max="6"/>
    <col width="30" customWidth="1" min="7" max="7"/>
    <col width="28" customWidth="1" min="8" max="8"/>
    <col width="35" customWidth="1" min="9" max="9"/>
    <col width="28" customWidth="1" min="10" max="10"/>
    <col width="16" customWidth="1" min="11" max="11"/>
    <col width="14" customWidth="1" min="12" max="12"/>
    <col width="16" customWidth="1" min="13" max="13"/>
    <col width="14" customWidth="1" min="14" max="14"/>
    <col width="18" customWidth="1" min="15" max="15"/>
    <col width="30" customWidth="1" min="16" max="16"/>
    <col width="35" customWidth="1" min="17" max="17"/>
    <col width="16" customWidth="1" min="18" max="18"/>
    <col width="26" customWidth="1" min="19" max="19"/>
    <col width="14" customWidth="1" min="20" max="20"/>
    <col width="22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30" customHeight="1">
      <c r="A2" s="1" t="n"/>
      <c r="B2" s="1" t="inlineStr">
        <is>
          <t>Campaign / Activation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28" customHeight="1">
      <c r="A3" s="1" t="n"/>
      <c r="B3" s="1" t="inlineStr">
        <is>
          <t>One row per campaign proposal. Update only this canonical row after human review.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 ht="28" customHeight="1">
      <c r="A6" s="1" t="n"/>
      <c r="B6" s="6" t="inlineStr">
        <is>
          <t>Campaign ID</t>
        </is>
      </c>
      <c r="C6" s="6" t="inlineStr">
        <is>
          <t>Name</t>
        </is>
      </c>
      <c r="D6" s="6" t="inlineStr">
        <is>
          <t>Myanmar title</t>
        </is>
      </c>
      <c r="E6" s="6" t="inlineStr">
        <is>
          <t>Format</t>
        </is>
      </c>
      <c r="F6" s="6" t="inlineStr">
        <is>
          <t>Commercial tension</t>
        </is>
      </c>
      <c r="G6" s="6" t="inlineStr">
        <is>
          <t>Objective</t>
        </is>
      </c>
      <c r="H6" s="6" t="inlineStr">
        <is>
          <t>Creative territory</t>
        </is>
      </c>
      <c r="I6" s="6" t="inlineStr">
        <is>
          <t>Conversion mechanism</t>
        </is>
      </c>
      <c r="J6" s="6" t="inlineStr">
        <is>
          <t>Seasonal logic</t>
        </is>
      </c>
      <c r="K6" s="6" t="inlineStr">
        <is>
          <t>Status</t>
        </is>
      </c>
      <c r="L6" s="6" t="inlineStr">
        <is>
          <t>Lean MMK</t>
        </is>
      </c>
      <c r="M6" s="6" t="inlineStr">
        <is>
          <t>Recommended MMK</t>
        </is>
      </c>
      <c r="N6" s="6" t="inlineStr">
        <is>
          <t>Flagship MMK</t>
        </is>
      </c>
      <c r="O6" s="6" t="inlineStr">
        <is>
          <t>Base qualified follow-ups</t>
        </is>
      </c>
      <c r="P6" s="6" t="inlineStr">
        <is>
          <t>Primary KPI</t>
        </is>
      </c>
      <c r="Q6" s="6" t="inlineStr">
        <is>
          <t>Approvals</t>
        </is>
      </c>
      <c r="R6" s="6" t="inlineStr">
        <is>
          <t>Source IDs</t>
        </is>
      </c>
      <c r="S6" s="6" t="inlineStr">
        <is>
          <t>Latest artifact</t>
        </is>
      </c>
      <c r="T6" s="6" t="inlineStr">
        <is>
          <t>Current version</t>
        </is>
      </c>
      <c r="U6" s="6" t="inlineStr">
        <is>
          <t>Notes</t>
        </is>
      </c>
    </row>
    <row r="7" ht="44" customHeight="1">
      <c r="A7" s="1" t="n"/>
      <c r="B7" s="7" t="inlineStr">
        <is>
          <t>CMP-2026-FNB-001</t>
        </is>
      </c>
      <c r="C7" s="7" t="inlineStr">
        <is>
          <t>Origin on the Table</t>
        </is>
      </c>
      <c r="D7" s="7" t="inlineStr">
        <is>
          <t>မူရင်းကို စားပွဲပေါ်သို့ — ဒေသထွက်ပါဝင်ပစ္စည်း အတွေ့အကြုံပြပွဲ</t>
        </is>
      </c>
      <c r="E7" s="7" t="inlineStr">
        <is>
          <t>Regional ingredient proof pop-up</t>
        </is>
      </c>
      <c r="F7" s="7" t="inlineStr">
        <is>
          <t>Consumers may enjoy a dish but lack a clear, non-exaggerated reason to choose it again when multiple F&amp;B options feel interchangeable.</t>
        </is>
      </c>
      <c r="G7" s="7" t="inlineStr">
        <is>
          <t>Convert taste curiosity into an opted-in tasting follow-up, product trial or client-approved purchase route.</t>
        </is>
      </c>
      <c r="H7" s="7" t="inlineStr">
        <is>
          <t>The ingredient has a place, a season and a hand behind it.</t>
        </is>
      </c>
      <c r="I7" s="7" t="inlineStr">
        <is>
          <t>A three-station tasting card unlocks a QR ingredient/story card and a voluntary next-step preference selection; any order, delivery or purchase destination is client-approved/TBC.</t>
        </is>
      </c>
      <c r="J7" s="7" t="inlineStr">
        <is>
          <t>Evergreen cultural-discovery format; use Q4 only if the client confirms a suitable product, venue and operating date.</t>
        </is>
      </c>
      <c r="K7" s="8" t="inlineStr">
        <is>
          <t>Concept ready</t>
        </is>
      </c>
      <c r="L7" s="8" t="n">
        <v>12500000</v>
      </c>
      <c r="M7" s="8" t="n">
        <v>24800000</v>
      </c>
      <c r="N7" s="7" t="n">
        <v>48500000</v>
      </c>
      <c r="O7" s="7" t="n">
        <v>32</v>
      </c>
      <c r="P7" s="7" t="inlineStr">
        <is>
          <t>Labelled tasting completions; Consented preference selections; Qualified next-step requests; Approved product-trial redemptions</t>
        </is>
      </c>
      <c r="Q7" s="7" t="inlineStr">
        <is>
          <t>Product/ingredient facts; Allergen and serving information; Food preparation and hygiene plan; Venue/permit; Consent text; Photography/rights</t>
        </is>
      </c>
      <c r="R7" s="7" t="inlineStr">
        <is>
          <t>FNB-S02, FNB-S07, FNB-S08, FNB-S09</t>
        </is>
      </c>
      <c r="S7" s="7" t="inlineStr">
        <is>
          <t>Drive upload pending</t>
        </is>
      </c>
      <c r="T7" s="7" t="inlineStr">
        <is>
          <t>v1.0</t>
        </is>
      </c>
      <c r="U7" s="7" t="inlineStr">
        <is>
          <t>Planning only</t>
        </is>
      </c>
    </row>
    <row r="8" ht="44" customHeight="1">
      <c r="A8" s="1" t="n"/>
      <c r="B8" s="4" t="inlineStr">
        <is>
          <t>CMP-2026-FNB-002</t>
        </is>
      </c>
      <c r="C8" s="4" t="inlineStr">
        <is>
          <t>The Flavour Find</t>
        </is>
      </c>
      <c r="D8" s="4" t="inlineStr">
        <is>
          <t>အရသာရှာဖွေရေး — လမ်းညွှန်ထားသော Shelf-to-Sip Discovery Trail</t>
        </is>
      </c>
      <c r="E8" s="4" t="inlineStr">
        <is>
          <t>Retail discovery trail</t>
        </is>
      </c>
      <c r="F8" s="4" t="inlineStr">
        <is>
          <t>New beverages or snack variants can be overlooked when choice overload makes shoppers default to familiar products.</t>
        </is>
      </c>
      <c r="G8" s="4" t="inlineStr">
        <is>
          <t>Help a shopper identify one personally relevant flavour route and capture a consented re-engagement preference.</t>
        </is>
      </c>
      <c r="H8" s="4" t="inlineStr">
        <is>
          <t>Do not browse the shelf. Follow your flavour.</t>
        </is>
      </c>
      <c r="I8" s="4" t="inlineStr">
        <is>
          <t>A five-question flavour card issues a route token to two or three client-approved discovery points, ending in a voluntary preference capture or offer reveal.</t>
        </is>
      </c>
      <c r="J8" s="4" t="inlineStr">
        <is>
          <t>Suitable for a non-holiday retail window; do not schedule around a public holiday without retailer confirmation.</t>
        </is>
      </c>
      <c r="K8" s="5" t="inlineStr">
        <is>
          <t>Concept ready</t>
        </is>
      </c>
      <c r="L8" s="5" t="n">
        <v>10800000</v>
      </c>
      <c r="M8" s="5" t="n">
        <v>22100000</v>
      </c>
      <c r="N8" s="4" t="n">
        <v>43200000</v>
      </c>
      <c r="O8" s="4" t="n">
        <v>42</v>
      </c>
      <c r="P8" s="4" t="inlineStr">
        <is>
          <t>Route starts; Route completions; Preference captures; Client-approved offer redemptions</t>
        </is>
      </c>
      <c r="Q8" s="4" t="inlineStr">
        <is>
          <t>Retailer access; Product availability; Any age/category controls; Offer terms; Sampling and hygiene plan; Data consent</t>
        </is>
      </c>
      <c r="R8" s="4" t="inlineStr">
        <is>
          <t>FNB-S01, FNB-S10</t>
        </is>
      </c>
      <c r="S8" s="4" t="inlineStr">
        <is>
          <t>Drive upload pending</t>
        </is>
      </c>
      <c r="T8" s="4" t="inlineStr">
        <is>
          <t>v1.0</t>
        </is>
      </c>
      <c r="U8" s="4" t="inlineStr">
        <is>
          <t>Planning only</t>
        </is>
      </c>
    </row>
    <row r="9" ht="44" customHeight="1">
      <c r="A9" s="1" t="n"/>
      <c r="B9" s="7" t="inlineStr">
        <is>
          <t>CMP-2026-FNB-003</t>
        </is>
      </c>
      <c r="C9" s="7" t="inlineStr">
        <is>
          <t>The 15-Minute Table</t>
        </is>
      </c>
      <c r="D9" s="7" t="inlineStr">
        <is>
          <t>၁၅ မိနစ် စားပွဲ — အလျင်မြန်အစားအစာ Kit အတွေ့အကြုံ</t>
        </is>
      </c>
      <c r="E9" s="7" t="inlineStr">
        <is>
          <t>Product-launch demonstration and reservation activation</t>
        </is>
      </c>
      <c r="F9" s="7" t="inlineStr">
        <is>
          <t>Busy households may perceive convenient food as less satisfying or too difficult to fit into their own routines.</t>
        </is>
      </c>
      <c r="G9" s="7" t="inlineStr">
        <is>
          <t>Convert a convenience concern into a client-approved trial-kit reservation or cooking-demo booking.</t>
        </is>
      </c>
      <c r="H9" s="7" t="inlineStr">
        <is>
          <t>A real table can begin before the day has finished.</t>
        </is>
      </c>
      <c r="I9" s="7" t="inlineStr">
        <is>
          <t>Visitors select a real-life meal moment, watch a timed but non-performance-guaranteed demo, and reserve a limited client-approved trial kit or demonstration slot.</t>
        </is>
      </c>
      <c r="J9" s="7" t="inlineStr">
        <is>
          <t>Suitable for September household-routine planning; exact timing remains client/venue confirmed.</t>
        </is>
      </c>
      <c r="K9" s="8" t="inlineStr">
        <is>
          <t>Concept ready</t>
        </is>
      </c>
      <c r="L9" s="8" t="n">
        <v>14200000</v>
      </c>
      <c r="M9" s="8" t="n">
        <v>28600000</v>
      </c>
      <c r="N9" s="7" t="n">
        <v>56200000</v>
      </c>
      <c r="O9" s="7" t="n">
        <v>44</v>
      </c>
      <c r="P9" s="7" t="inlineStr">
        <is>
          <t>Demo attendance; Trial-kit reservations; Booked follow-up demos; Post-trial feedback completion</t>
        </is>
      </c>
      <c r="Q9" s="7" t="inlineStr">
        <is>
          <t>Preparation instructions; Ingredient/allergen facts; Food handling; Trial-kit terms; Inventory; Customer data handling</t>
        </is>
      </c>
      <c r="R9" s="7" t="inlineStr">
        <is>
          <t>FNB-S02, FNB-S10</t>
        </is>
      </c>
      <c r="S9" s="7" t="inlineStr">
        <is>
          <t>Drive upload pending</t>
        </is>
      </c>
      <c r="T9" s="7" t="inlineStr">
        <is>
          <t>v1.0</t>
        </is>
      </c>
      <c r="U9" s="7" t="inlineStr">
        <is>
          <t>Planning only</t>
        </is>
      </c>
    </row>
    <row r="10" ht="44" customHeight="1">
      <c r="A10" s="1" t="n"/>
      <c r="B10" s="4" t="inlineStr">
        <is>
          <t>CMP-2026-FNB-004</t>
        </is>
      </c>
      <c r="C10" s="4" t="inlineStr">
        <is>
          <t>The Better Break</t>
        </is>
      </c>
      <c r="D10" s="4" t="inlineStr">
        <is>
          <t>ပိုကောင်းတဲ့ နားချိန် — အလုပ်ခွင် Meal Discovery Programme</t>
        </is>
      </c>
      <c r="E10" s="4" t="inlineStr">
        <is>
          <t>B2B workplace tasting and procurement clinic</t>
        </is>
      </c>
      <c r="F10" s="4" t="inlineStr">
        <is>
          <t>Office meal or pantry decisions can remain price-only conversations, leaving service fit, dietary information and ordering workflow unexplored.</t>
        </is>
      </c>
      <c r="G10" s="4" t="inlineStr">
        <is>
          <t>Move a workplace decision-maker from generic interest to a consented procurement tasting or operational scoping meeting.</t>
        </is>
      </c>
      <c r="H10" s="4" t="inlineStr">
        <is>
          <t>A break should work as hard as the team does.</t>
        </is>
      </c>
      <c r="I10" s="4" t="inlineStr">
        <is>
          <t>A short preference-and-operations card produces a named tasting/scoping appointment; no catering capacity or outcome is promised at the activation.</t>
        </is>
      </c>
      <c r="J10" s="4" t="inlineStr">
        <is>
          <t>Suitable for September business-planning windows; workplace schedule and access approval required.</t>
        </is>
      </c>
      <c r="K10" s="5" t="inlineStr">
        <is>
          <t>Concept ready</t>
        </is>
      </c>
      <c r="L10" s="5" t="n">
        <v>9800000</v>
      </c>
      <c r="M10" s="5" t="n">
        <v>19800000</v>
      </c>
      <c r="N10" s="4" t="n">
        <v>39700000</v>
      </c>
      <c r="O10" s="4" t="n">
        <v>12</v>
      </c>
      <c r="P10" s="4" t="inlineStr">
        <is>
          <t>Decision-maker attendance; Scoping appointments; Qualified procurement briefs; Client-approved proposal requests</t>
        </is>
      </c>
      <c r="Q10" s="4" t="inlineStr">
        <is>
          <t>Employer access; Service scope; Tasting logistics; Allergen/food safety; Account-data consent; Sales owner</t>
        </is>
      </c>
      <c r="R10" s="4" t="inlineStr">
        <is>
          <t>FNB-S01, FNB-S08</t>
        </is>
      </c>
      <c r="S10" s="4" t="inlineStr">
        <is>
          <t>Drive upload pending</t>
        </is>
      </c>
      <c r="T10" s="4" t="inlineStr">
        <is>
          <t>v1.0</t>
        </is>
      </c>
      <c r="U10" s="4" t="inlineStr">
        <is>
          <t>Planning only</t>
        </is>
      </c>
    </row>
    <row r="11" ht="44" customHeight="1">
      <c r="A11" s="1" t="n"/>
      <c r="B11" s="7" t="inlineStr">
        <is>
          <t>CMP-2026-FNB-005</t>
        </is>
      </c>
      <c r="C11" s="7" t="inlineStr">
        <is>
          <t>One Dish, Many Hands</t>
        </is>
      </c>
      <c r="D11" s="7" t="inlineStr">
        <is>
          <t>တစ်ပွဲတည်း၊ လက်များစွာ — Open-Kitchen Craft Table</t>
        </is>
      </c>
      <c r="E11" s="7" t="inlineStr">
        <is>
          <t>Chef-led craft demonstration and preview</t>
        </is>
      </c>
      <c r="F11" s="7" t="inlineStr">
        <is>
          <t>A food brand may have a credible making process, yet customers see only the finished dish and cannot distinguish craft from generic promotion.</t>
        </is>
      </c>
      <c r="G11" s="7" t="inlineStr">
        <is>
          <t>Create a high-attention, client-approved waitlist, tasting-session or content-consent pathway around visible craft.</t>
        </is>
      </c>
      <c r="H11" s="7" t="inlineStr">
        <is>
          <t>The making is part of the meal.</t>
        </is>
      </c>
      <c r="I11" s="7" t="inlineStr">
        <is>
          <t>A clearly timed demonstration ends with a question card, a controlled tasting sequence and an optional waitlist or session request.</t>
        </is>
      </c>
      <c r="J11" s="7" t="inlineStr">
        <is>
          <t>Proposed for late September or early October before the listed Thadingyut holidays; exact date TBC.</t>
        </is>
      </c>
      <c r="K11" s="8" t="inlineStr">
        <is>
          <t>Concept ready</t>
        </is>
      </c>
      <c r="L11" s="8" t="n">
        <v>15100000</v>
      </c>
      <c r="M11" s="8" t="n">
        <v>31200000</v>
      </c>
      <c r="N11" s="7" t="n">
        <v>63800000</v>
      </c>
      <c r="O11" s="7" t="n">
        <v>36</v>
      </c>
      <c r="P11" s="7" t="inlineStr">
        <is>
          <t>Seat/standing-zone attendance; Question-card submissions; Waitlist requests; Approved media/content opt-ins</t>
        </is>
      </c>
      <c r="Q11" s="7" t="inlineStr">
        <is>
          <t>Chef/talent contract; Recipe/IP boundary; Food safety; Guest capacity; Content rights; Venue permissions</t>
        </is>
      </c>
      <c r="R11" s="7" t="inlineStr">
        <is>
          <t>FNB-S07, FNB-S08, FNB-S10</t>
        </is>
      </c>
      <c r="S11" s="7" t="inlineStr">
        <is>
          <t>Drive upload pending</t>
        </is>
      </c>
      <c r="T11" s="7" t="inlineStr">
        <is>
          <t>v1.0</t>
        </is>
      </c>
      <c r="U11" s="7" t="inlineStr">
        <is>
          <t>Planning only</t>
        </is>
      </c>
    </row>
    <row r="12" ht="44" customHeight="1">
      <c r="A12" s="1" t="n"/>
      <c r="B12" s="4" t="inlineStr">
        <is>
          <t>CMP-2026-FNB-006</t>
        </is>
      </c>
      <c r="C12" s="4" t="inlineStr">
        <is>
          <t>The Quiet Cup</t>
        </is>
      </c>
      <c r="D12" s="4" t="inlineStr">
        <is>
          <t>တိတ်ဆိတ်တဲ့ ခွက် — ကော်ဖီနှင့် လက်ဖက်ရည် Sensory Masterclass</t>
        </is>
      </c>
      <c r="E12" s="4" t="inlineStr">
        <is>
          <t>Sensory masterclass and membership pathway</t>
        </is>
      </c>
      <c r="F12" s="4" t="inlineStr">
        <is>
          <t>Coffee and tea communication can become technical or status-led, making curious newcomers reluctant to ask questions or return.</t>
        </is>
      </c>
      <c r="G12" s="4" t="inlineStr">
        <is>
          <t>Turn guided sensory participation into an optional club/session registration or client-approved product learning route.</t>
        </is>
      </c>
      <c r="H12" s="4" t="inlineStr">
        <is>
          <t>Your taste already knows where to begin.</t>
        </is>
      </c>
      <c r="I12" s="4" t="inlineStr">
        <is>
          <t>A guided aroma/flavour scorecard produces a self-selected learning profile and optional registration for a future session, tasting pack or client-approved update.</t>
        </is>
      </c>
      <c r="J12" s="4" t="inlineStr">
        <is>
          <t>Works as a post-Thadingyut November learning format, subject to final calendar/venue confirmation.</t>
        </is>
      </c>
      <c r="K12" s="5" t="inlineStr">
        <is>
          <t>Concept ready</t>
        </is>
      </c>
      <c r="L12" s="5" t="n">
        <v>11300000</v>
      </c>
      <c r="M12" s="5" t="n">
        <v>23700000</v>
      </c>
      <c r="N12" s="4" t="n">
        <v>47200000</v>
      </c>
      <c r="O12" s="4" t="n">
        <v>28</v>
      </c>
      <c r="P12" s="4" t="inlineStr">
        <is>
          <t>Masterclass attendance; Completed scorecards; Opt-in learning profiles; Return-session registrations</t>
        </is>
      </c>
      <c r="Q12" s="4" t="inlineStr">
        <is>
          <t>Facilitator; Serving and allergy plan; Participant capacity; Age/category policy; CRM consent; Venue</t>
        </is>
      </c>
      <c r="R12" s="4" t="inlineStr">
        <is>
          <t>FNB-S08, FNB-S10</t>
        </is>
      </c>
      <c r="S12" s="4" t="inlineStr">
        <is>
          <t>Drive upload pending</t>
        </is>
      </c>
      <c r="T12" s="4" t="inlineStr">
        <is>
          <t>v1.0</t>
        </is>
      </c>
      <c r="U12" s="4" t="inlineStr">
        <is>
          <t>Planning only</t>
        </is>
      </c>
    </row>
    <row r="13" ht="44" customHeight="1">
      <c r="A13" s="1" t="n"/>
      <c r="B13" s="7" t="inlineStr">
        <is>
          <t>CMP-2026-FNB-007</t>
        </is>
      </c>
      <c r="C13" s="7" t="inlineStr">
        <is>
          <t>A City of Small Tables</t>
        </is>
      </c>
      <c r="D13" s="7" t="inlineStr">
        <is>
          <t>စားပွဲငယ်များ၏ မြို့ — ရပ်ကွက်အစားအစာ Passport</t>
        </is>
      </c>
      <c r="E13" s="7" t="inlineStr">
        <is>
          <t>Neighbourhood food-trail and local-business activation</t>
        </is>
      </c>
      <c r="F13" s="7" t="inlineStr">
        <is>
          <t>Independent food businesses may have distinct offers but little shared mechanism to help people discover, compare and return responsibly.</t>
        </is>
      </c>
      <c r="G13" s="7" t="inlineStr">
        <is>
          <t>Generate transparent discovery, client-approved opt-in and measurable return routes without promising sales or partnership outcomes.</t>
        </is>
      </c>
      <c r="H13" s="7" t="inlineStr">
        <is>
          <t>A good city is remembered one small table at a time.</t>
        </is>
      </c>
      <c r="I13" s="7" t="inlineStr">
        <is>
          <t>A digital/print passport records client-approved visits or learning moments, then offers a voluntary preference capture and future route update.</t>
        </is>
      </c>
      <c r="J13" s="7" t="inlineStr">
        <is>
          <t>Proposed for November after the listed Tazaungdaing holidays; route and local-business confirmation required.</t>
        </is>
      </c>
      <c r="K13" s="8" t="inlineStr">
        <is>
          <t>Concept ready</t>
        </is>
      </c>
      <c r="L13" s="8" t="n">
        <v>16200000</v>
      </c>
      <c r="M13" s="8" t="n">
        <v>33800000</v>
      </c>
      <c r="N13" s="7" t="n">
        <v>69200000</v>
      </c>
      <c r="O13" s="7" t="n">
        <v>42</v>
      </c>
      <c r="P13" s="7" t="inlineStr">
        <is>
          <t>Passport activations; Verified route completions; Consented preference captures; Client-approved return-route interest</t>
        </is>
      </c>
      <c r="Q13" s="7" t="inlineStr">
        <is>
          <t>Participating businesses; Route safety/accessibility; Local permissions; Data consent; Photography; Crisis/contact plan</t>
        </is>
      </c>
      <c r="R13" s="7" t="inlineStr">
        <is>
          <t>FNB-S02, FNB-S07, FNB-S09</t>
        </is>
      </c>
      <c r="S13" s="7" t="inlineStr">
        <is>
          <t>Drive upload pending</t>
        </is>
      </c>
      <c r="T13" s="7" t="inlineStr">
        <is>
          <t>v1.0</t>
        </is>
      </c>
      <c r="U13" s="7" t="inlineStr">
        <is>
          <t>Planning only</t>
        </is>
      </c>
    </row>
    <row r="14" ht="44" customHeight="1">
      <c r="A14" s="1" t="n"/>
      <c r="B14" s="4" t="inlineStr">
        <is>
          <t>CMP-2026-FNB-008</t>
        </is>
      </c>
      <c r="C14" s="4" t="inlineStr">
        <is>
          <t>The Shared Tray</t>
        </is>
      </c>
      <c r="D14" s="4" t="inlineStr">
        <is>
          <t>မျှဝေစားပွဲ — Hosting Pre-Order Activation</t>
        </is>
      </c>
      <c r="E14" s="4" t="inlineStr">
        <is>
          <t>Seasonal hosting pop-up and group-order conversion</t>
        </is>
      </c>
      <c r="F14" s="4" t="inlineStr">
        <is>
          <t>People planning a shared meal can lack confidence in what to order, how much to choose or how to coordinate a group without over-ordering.</t>
        </is>
      </c>
      <c r="G14" s="4" t="inlineStr">
        <is>
          <t>Move hosting interest into a client-approved group-order consultation, menu-planning tool or pickup/delivery enquiry.</t>
        </is>
      </c>
      <c r="H14" s="4" t="inlineStr">
        <is>
          <t>The table begins with the people you are thinking of.</t>
        </is>
      </c>
      <c r="I14" s="4" t="inlineStr">
        <is>
          <t>A table-size planner creates a non-binding hosting card and offers an optional client-approved pre-order or consultation request.</t>
        </is>
      </c>
      <c r="J14" s="4" t="inlineStr">
        <is>
          <t>Proposed for the November–December hosting period while avoiding the listed 4 and 25 December dates unless operations are confirmed.</t>
        </is>
      </c>
      <c r="K14" s="5" t="inlineStr">
        <is>
          <t>Concept ready</t>
        </is>
      </c>
      <c r="L14" s="5" t="n">
        <v>11900000</v>
      </c>
      <c r="M14" s="5" t="n">
        <v>25400000</v>
      </c>
      <c r="N14" s="4" t="n">
        <v>52800000</v>
      </c>
      <c r="O14" s="4" t="n">
        <v>42</v>
      </c>
      <c r="P14" s="4" t="inlineStr">
        <is>
          <t>Planner completions; Group-order enquiries; Consultation requests; Client-approved conversion rate</t>
        </is>
      </c>
      <c r="Q14" s="4" t="inlineStr">
        <is>
          <t>Menu/allergen statements; Order rules; Service area; Capacity/inventory; Data consent; Holiday operating plan</t>
        </is>
      </c>
      <c r="R14" s="4" t="inlineStr">
        <is>
          <t>FNB-S04, FNB-S05, FNB-S09</t>
        </is>
      </c>
      <c r="S14" s="4" t="inlineStr">
        <is>
          <t>Drive upload pending</t>
        </is>
      </c>
      <c r="T14" s="4" t="inlineStr">
        <is>
          <t>v1.0</t>
        </is>
      </c>
      <c r="U14" s="4" t="inlineStr">
        <is>
          <t>Planning only</t>
        </is>
      </c>
    </row>
    <row r="15" ht="44" customHeight="1">
      <c r="A15" s="1" t="n"/>
      <c r="B15" s="7" t="inlineStr">
        <is>
          <t>CMP-2026-FNB-009</t>
        </is>
      </c>
      <c r="C15" s="7" t="inlineStr">
        <is>
          <t>The Buyer’s Bite</t>
        </is>
      </c>
      <c r="D15" s="7" t="inlineStr">
        <is>
          <t>ဝယ်ယူသူအတွက် တစ်ကိုက် — MSME Food Trade Preview</t>
        </is>
      </c>
      <c r="E15" s="7" t="inlineStr">
        <is>
          <t>Curated B2B trade preview and buyer-meeting clinic</t>
        </is>
      </c>
      <c r="F15" s="7" t="inlineStr">
        <is>
          <t>Emerging food producers may generate interest yet lack a structured, realistic route to a buyer conversation, product review or next qualification step.</t>
        </is>
      </c>
      <c r="G15" s="7" t="inlineStr">
        <is>
          <t>Turn selected product discovery into a client-approved buyer meeting, product-review request or category briefing—not an implied listing or endorsement.</t>
        </is>
      </c>
      <c r="H15" s="7" t="inlineStr">
        <is>
          <t>One good bite should open a better conversation.</t>
        </is>
      </c>
      <c r="I15" s="7" t="inlineStr">
        <is>
          <t>A structured buyer card captures criteria and issues a named, consented follow-up request after a client-approved product interaction.</t>
        </is>
      </c>
      <c r="J15" s="7" t="inlineStr">
        <is>
          <t>Suitable for late November/early December category-planning windows, excluding public-holiday operations unless confirmed.</t>
        </is>
      </c>
      <c r="K15" s="8" t="inlineStr">
        <is>
          <t>Concept ready</t>
        </is>
      </c>
      <c r="L15" s="8" t="n">
        <v>17600000</v>
      </c>
      <c r="M15" s="8" t="n">
        <v>36500000</v>
      </c>
      <c r="N15" s="7" t="n">
        <v>74800000</v>
      </c>
      <c r="O15" s="7" t="n">
        <v>14</v>
      </c>
      <c r="P15" s="7" t="inlineStr">
        <is>
          <t>Qualified buyer attendance; Buyer criteria cards; Named follow-up meetings; Client-approved product-review requests</t>
        </is>
      </c>
      <c r="Q15" s="7" t="inlineStr">
        <is>
          <t>Buyer/producers selection; Product handling; Trade claims; NDA/confidentiality as needed; Venue; Follow-up owner</t>
        </is>
      </c>
      <c r="R15" s="7" t="inlineStr">
        <is>
          <t>FNB-S02, FNB-S08, FNB-S09</t>
        </is>
      </c>
      <c r="S15" s="7" t="inlineStr">
        <is>
          <t>Drive upload pending</t>
        </is>
      </c>
      <c r="T15" s="7" t="inlineStr">
        <is>
          <t>v1.0</t>
        </is>
      </c>
      <c r="U15" s="7" t="inlineStr">
        <is>
          <t>Planning only</t>
        </is>
      </c>
    </row>
    <row r="16" ht="44" customHeight="1">
      <c r="A16" s="1" t="n"/>
      <c r="B16" s="4" t="inlineStr">
        <is>
          <t>CMP-2026-FNB-010</t>
        </is>
      </c>
      <c r="C16" s="4" t="inlineStr">
        <is>
          <t>Second Serving</t>
        </is>
      </c>
      <c r="D16" s="4" t="inlineStr">
        <is>
          <t>ဒုတိယအကြိမ် စားသုံးမှု — Feedback-to-Return Packaging Lab</t>
        </is>
      </c>
      <c r="E16" s="4" t="inlineStr">
        <is>
          <t>Product-feedback pop-up and CRM reactivation programme</t>
        </is>
      </c>
      <c r="F16" s="4" t="inlineStr">
        <is>
          <t>A first trial may not become a repeat habit because brands often learn too little about the actual serving, storage, pack-opening or re-order friction.</t>
        </is>
      </c>
      <c r="G16" s="4" t="inlineStr">
        <is>
          <t>Generate consented, structured feedback and a client-approved re-engagement route without claiming packaging, sustainability or compliance outcomes.</t>
        </is>
      </c>
      <c r="H16" s="4" t="inlineStr">
        <is>
          <t>The next serving begins with what the first one taught us.</t>
        </is>
      </c>
      <c r="I16" s="4" t="inlineStr">
        <is>
          <t>A guided pack-use review captures a priority friction and lets the participant select a future update, trial or client-approved repeat-purchase prompt.</t>
        </is>
      </c>
      <c r="J16" s="4" t="inlineStr">
        <is>
          <t>Evergreen retention format; can run in December only around confirmed client operations and public-holiday guardrails.</t>
        </is>
      </c>
      <c r="K16" s="5" t="inlineStr">
        <is>
          <t>Concept ready</t>
        </is>
      </c>
      <c r="L16" s="5" t="n">
        <v>8700000</v>
      </c>
      <c r="M16" s="5" t="n">
        <v>18400000</v>
      </c>
      <c r="N16" s="4" t="n">
        <v>38200000</v>
      </c>
      <c r="O16" s="4" t="n">
        <v>34</v>
      </c>
      <c r="P16" s="4" t="inlineStr">
        <is>
          <t>Completed feedback reviews; Consented follow-up selections; Repeat-intent responses; Client-approved reactivation conversion</t>
        </is>
      </c>
      <c r="Q16" s="4" t="inlineStr">
        <is>
          <t>Customer data basis; Product use/storage information; Pack/label legal review; CRM message rules; Feedback handling; Customer-care owner</t>
        </is>
      </c>
      <c r="R16" s="4" t="inlineStr">
        <is>
          <t>FNB-S01, FNB-S06</t>
        </is>
      </c>
      <c r="S16" s="4" t="inlineStr">
        <is>
          <t>Drive upload pending</t>
        </is>
      </c>
      <c r="T16" s="4" t="inlineStr">
        <is>
          <t>v1.0</t>
        </is>
      </c>
      <c r="U16" s="4" t="inlineStr">
        <is>
          <t>Planning only</t>
        </is>
      </c>
    </row>
  </sheetData>
  <autoFilter ref="B6:U16"/>
  <mergeCells count="2">
    <mergeCell ref="B3:U3"/>
    <mergeCell ref="B2:U2"/>
  </mergeCells>
  <conditionalFormatting sqref="L7:L16">
    <cfRule type="dataBar" priority="1">
      <dataBar>
        <cfvo type="min"/>
        <cfvo type="max"/>
        <color rgb="00A75E2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6" customWidth="1" min="3" max="3"/>
    <col width="28" customWidth="1" min="4" max="4"/>
    <col width="28" customWidth="1" min="5" max="5"/>
    <col width="20" customWidth="1" min="6" max="6"/>
    <col width="34" customWidth="1" min="7" max="7"/>
    <col width="30" customWidth="1" min="8" max="8"/>
    <col width="30" customWidth="1" min="9" max="9"/>
    <col width="34" customWidth="1" min="10" max="10"/>
    <col width="30" customWidth="1" min="11" max="11"/>
    <col width="35" customWidth="1" min="12" max="12"/>
    <col width="12" customWidth="1" min="13" max="13"/>
    <col width="20" customWidth="1" min="14" max="14"/>
    <col width="42" customWidth="1" min="15" max="15"/>
    <col width="25" customWidth="1" min="16" max="16"/>
    <col width="14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1" t="inlineStr">
        <is>
          <t>Standalone Commercial &amp; Storyboard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8" customHeight="1">
      <c r="A3" s="1" t="n"/>
      <c r="B3" s="1" t="inlineStr">
        <is>
          <t>Commercials are independent COM records even where strategically linked to a campaign.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28" customHeight="1">
      <c r="A6" s="1" t="n"/>
      <c r="B6" s="6" t="inlineStr">
        <is>
          <t>Commercial ID</t>
        </is>
      </c>
      <c r="C6" s="6" t="inlineStr">
        <is>
          <t>Title</t>
        </is>
      </c>
      <c r="D6" s="6" t="inlineStr">
        <is>
          <t>Myanmar title</t>
        </is>
      </c>
      <c r="E6" s="6" t="inlineStr">
        <is>
          <t>Format</t>
        </is>
      </c>
      <c r="F6" s="6" t="inlineStr">
        <is>
          <t>Linked campaign</t>
        </is>
      </c>
      <c r="G6" s="6" t="inlineStr">
        <is>
          <t>Tension</t>
        </is>
      </c>
      <c r="H6" s="6" t="inlineStr">
        <is>
          <t>Objective</t>
        </is>
      </c>
      <c r="I6" s="6" t="inlineStr">
        <is>
          <t>Creative territory</t>
        </is>
      </c>
      <c r="J6" s="6" t="inlineStr">
        <is>
          <t>Hook</t>
        </is>
      </c>
      <c r="K6" s="6" t="inlineStr">
        <is>
          <t>CTA</t>
        </is>
      </c>
      <c r="L6" s="6" t="inlineStr">
        <is>
          <t>Storyboard status</t>
        </is>
      </c>
      <c r="M6" s="6" t="inlineStr">
        <is>
          <t>Frames</t>
        </is>
      </c>
      <c r="N6" s="6" t="inlineStr">
        <is>
          <t>Status</t>
        </is>
      </c>
      <c r="O6" s="6" t="inlineStr">
        <is>
          <t>Production gate</t>
        </is>
      </c>
      <c r="P6" s="6" t="inlineStr">
        <is>
          <t>Latest artifact</t>
        </is>
      </c>
      <c r="Q6" s="6" t="inlineStr">
        <is>
          <t>Current version</t>
        </is>
      </c>
    </row>
    <row r="7" ht="44" customHeight="1">
      <c r="A7" s="1" t="n"/>
      <c r="B7" s="7" t="inlineStr">
        <is>
          <t>COM-2026-FNB-001</t>
        </is>
      </c>
      <c r="C7" s="7" t="inlineStr">
        <is>
          <t>Three Homes, One Ingredient</t>
        </is>
      </c>
      <c r="D7" s="7" t="inlineStr">
        <is>
          <t>အိမ်သုံးလုံး၊ ပါဝင်ပစ္စည်းတစ်မျိုး</t>
        </is>
      </c>
      <c r="E7" s="7" t="inlineStr">
        <is>
          <t>45-second cinematic regional-ingredient brand film</t>
        </is>
      </c>
      <c r="F7" s="7" t="inlineStr">
        <is>
          <t>CMP-2026-FNB-001</t>
        </is>
      </c>
      <c r="G7" s="7" t="inlineStr">
        <is>
          <t>A familiar ingredient can feel anonymous when its people, place and uses are invisible.</t>
        </is>
      </c>
      <c r="H7" s="7" t="inlineStr">
        <is>
          <t>Build ingredient curiosity and route viewers to a client-approved tasting, product-story or opt-in destination.</t>
        </is>
      </c>
      <c r="I7" s="7" t="inlineStr">
        <is>
          <t>Origin is not a label; it is a living table.</t>
        </is>
      </c>
      <c r="J7" s="7" t="inlineStr">
        <is>
          <t>A single ingredient lands, in sequence, on three very different tables.</t>
        </is>
      </c>
      <c r="K7" s="7" t="inlineStr">
        <is>
          <t>Discover the approved ingredient story / choose your next taste.</t>
        </is>
      </c>
      <c r="L7" s="7" t="inlineStr">
        <is>
          <t>Concept storyboard direction: 12 frames; all pack, product, claim, cast, music, venue and end-card details proposed/TBC.</t>
        </is>
      </c>
      <c r="M7" s="7" t="n">
        <v>12</v>
      </c>
      <c r="N7" s="7" t="inlineStr">
        <is>
          <t>Concept storyboard ready</t>
        </is>
      </c>
      <c r="O7" s="7" t="inlineStr">
        <is>
          <t>Client facts, legal/claims, food safety, cast, locations, rights, music, subtitles and end-card required</t>
        </is>
      </c>
      <c r="P7" s="7" t="inlineStr">
        <is>
          <t>Drive upload pending</t>
        </is>
      </c>
      <c r="Q7" s="7" t="inlineStr">
        <is>
          <t>v1.0</t>
        </is>
      </c>
    </row>
    <row r="8" ht="44" customHeight="1">
      <c r="A8" s="1" t="n"/>
      <c r="B8" s="4" t="inlineStr">
        <is>
          <t>COM-2026-FNB-002</t>
        </is>
      </c>
      <c r="C8" s="4" t="inlineStr">
        <is>
          <t>Find Your Flavour</t>
        </is>
      </c>
      <c r="D8" s="4" t="inlineStr">
        <is>
          <t>သင့်အရသာကို ရှာဖွေပါ</t>
        </is>
      </c>
      <c r="E8" s="4" t="inlineStr">
        <is>
          <t>30-second kinetic retail-discovery commercial</t>
        </is>
      </c>
      <c r="F8" s="4" t="inlineStr">
        <is>
          <t>CMP-2026-FNB-002</t>
        </is>
      </c>
      <c r="G8" s="4" t="inlineStr">
        <is>
          <t>A crowded shelf can turn curiosity into default behaviour.</t>
        </is>
      </c>
      <c r="H8" s="4" t="inlineStr">
        <is>
          <t>Make a flavour-choice route feel easy and drive an optional discovery-trail start.</t>
        </is>
      </c>
      <c r="I8" s="4" t="inlineStr">
        <is>
          <t>Your flavour is a route, not a random choice.</t>
        </is>
      </c>
      <c r="J8" s="4" t="inlineStr">
        <is>
          <t>Colour-coded flavour tokens roll across a shelf and stop at one shopper’s hand.</t>
        </is>
      </c>
      <c r="K8" s="4" t="inlineStr">
        <is>
          <t>Follow your flavour—start the approved discovery route.</t>
        </is>
      </c>
      <c r="L8" s="4" t="inlineStr">
        <is>
          <t>Concept storyboard direction: 12 frames; all pack, product, claim, cast, music, venue and end-card details proposed/TBC.</t>
        </is>
      </c>
      <c r="M8" s="4" t="n">
        <v>12</v>
      </c>
      <c r="N8" s="4" t="inlineStr">
        <is>
          <t>Concept storyboard ready</t>
        </is>
      </c>
      <c r="O8" s="4" t="inlineStr">
        <is>
          <t>Client facts, legal/claims, food safety, cast, locations, rights, music, subtitles and end-card required</t>
        </is>
      </c>
      <c r="P8" s="4" t="inlineStr">
        <is>
          <t>Drive upload pending</t>
        </is>
      </c>
      <c r="Q8" s="4" t="inlineStr">
        <is>
          <t>v1.0</t>
        </is>
      </c>
    </row>
    <row r="9" ht="44" customHeight="1">
      <c r="A9" s="1" t="n"/>
      <c r="B9" s="7" t="inlineStr">
        <is>
          <t>COM-2026-FNB-003</t>
        </is>
      </c>
      <c r="C9" s="7" t="inlineStr">
        <is>
          <t>Before the Day Is Done</t>
        </is>
      </c>
      <c r="D9" s="7" t="inlineStr">
        <is>
          <t>နေ့မပြီးခင် စားပွဲတစ်ခု</t>
        </is>
      </c>
      <c r="E9" s="7" t="inlineStr">
        <is>
          <t>45-second convenience-meal narrative commercial</t>
        </is>
      </c>
      <c r="F9" s="7" t="inlineStr">
        <is>
          <t>CMP-2026-FNB-003</t>
        </is>
      </c>
      <c r="G9" s="7" t="inlineStr">
        <is>
          <t>A busy person may assume convenience means a compromised table.</t>
        </is>
      </c>
      <c r="H9" s="7" t="inlineStr">
        <is>
          <t>Reframe convenient meal preparation as a client-approved trial or demonstration invitation.</t>
        </is>
      </c>
      <c r="I9" s="7" t="inlineStr">
        <is>
          <t>A small pause can still become a real table.</t>
        </is>
      </c>
      <c r="J9" s="7" t="inlineStr">
        <is>
          <t>A clock shifts from work mode to evening, but the kitchen stays calm.</t>
        </is>
      </c>
      <c r="K9" s="7" t="inlineStr">
        <is>
          <t>See the approved meal experience / reserve a next step.</t>
        </is>
      </c>
      <c r="L9" s="7" t="inlineStr">
        <is>
          <t>Concept storyboard direction: 12 frames; all pack, product, claim, cast, music, venue and end-card details proposed/TBC.</t>
        </is>
      </c>
      <c r="M9" s="7" t="n">
        <v>12</v>
      </c>
      <c r="N9" s="7" t="inlineStr">
        <is>
          <t>Concept storyboard ready</t>
        </is>
      </c>
      <c r="O9" s="7" t="inlineStr">
        <is>
          <t>Client facts, legal/claims, food safety, cast, locations, rights, music, subtitles and end-card required</t>
        </is>
      </c>
      <c r="P9" s="7" t="inlineStr">
        <is>
          <t>Drive upload pending</t>
        </is>
      </c>
      <c r="Q9" s="7" t="inlineStr">
        <is>
          <t>v1.0</t>
        </is>
      </c>
    </row>
    <row r="10" ht="44" customHeight="1">
      <c r="A10" s="1" t="n"/>
      <c r="B10" s="4" t="inlineStr">
        <is>
          <t>COM-2026-FNB-004</t>
        </is>
      </c>
      <c r="C10" s="4" t="inlineStr">
        <is>
          <t>A Better Break Has a Plan</t>
        </is>
      </c>
      <c r="D10" s="4" t="inlineStr">
        <is>
          <t>ပိုကောင်းတဲ့ နားချိန်မှာ အစီအစဉ်ရှိတယ်</t>
        </is>
      </c>
      <c r="E10" s="4" t="inlineStr">
        <is>
          <t>40-second B2B workplace service film</t>
        </is>
      </c>
      <c r="F10" s="4" t="inlineStr">
        <is>
          <t>CMP-2026-FNB-004</t>
        </is>
      </c>
      <c r="G10" s="4" t="inlineStr">
        <is>
          <t>Workplace food decisions can be made without seeing the people, timing and practical needs behind them.</t>
        </is>
      </c>
      <c r="H10" s="4" t="inlineStr">
        <is>
          <t>Prompt workplace decision-makers to request a scoped meal or pantry conversation.</t>
        </is>
      </c>
      <c r="I10" s="4" t="inlineStr">
        <is>
          <t>The break is part of how work works.</t>
        </is>
      </c>
      <c r="J10" s="4" t="inlineStr">
        <is>
          <t>A quiet office clock meets an empty break table before the team arrives.</t>
        </is>
      </c>
      <c r="K10" s="4" t="inlineStr">
        <is>
          <t>Start a workplace meal conversation—request an approved scope.</t>
        </is>
      </c>
      <c r="L10" s="4" t="inlineStr">
        <is>
          <t>Concept storyboard direction: 12 frames; all pack, product, claim, cast, music, venue and end-card details proposed/TBC.</t>
        </is>
      </c>
      <c r="M10" s="4" t="n">
        <v>12</v>
      </c>
      <c r="N10" s="4" t="inlineStr">
        <is>
          <t>Concept storyboard ready</t>
        </is>
      </c>
      <c r="O10" s="4" t="inlineStr">
        <is>
          <t>Client facts, legal/claims, food safety, cast, locations, rights, music, subtitles and end-card required</t>
        </is>
      </c>
      <c r="P10" s="4" t="inlineStr">
        <is>
          <t>Drive upload pending</t>
        </is>
      </c>
      <c r="Q10" s="4" t="inlineStr">
        <is>
          <t>v1.0</t>
        </is>
      </c>
    </row>
    <row r="11" ht="44" customHeight="1">
      <c r="A11" s="1" t="n"/>
      <c r="B11" s="7" t="inlineStr">
        <is>
          <t>COM-2026-FNB-005</t>
        </is>
      </c>
      <c r="C11" s="7" t="inlineStr">
        <is>
          <t>The Making Is the Meal</t>
        </is>
      </c>
      <c r="D11" s="7" t="inlineStr">
        <is>
          <t>ပြုလုပ်ပုံကလည်း အစားအစာတစ်စိတ်တစ်ပိုင်း</t>
        </is>
      </c>
      <c r="E11" s="7" t="inlineStr">
        <is>
          <t>60-second craft-documentary commercial</t>
        </is>
      </c>
      <c r="F11" s="7" t="inlineStr">
        <is>
          <t>CMP-2026-FNB-005</t>
        </is>
      </c>
      <c r="G11" s="7" t="inlineStr">
        <is>
          <t>Craft can be lost when a finished dish is seen without the decisions that made it.</t>
        </is>
      </c>
      <c r="H11" s="7" t="inlineStr">
        <is>
          <t>Build interest in a client-approved open-kitchen, tasting-session or content waitlist.</t>
        </is>
      </c>
      <c r="I11" s="7" t="inlineStr">
        <is>
          <t>What you watch being made changes what you taste.</t>
        </is>
      </c>
      <c r="J11" s="7" t="inlineStr">
        <is>
          <t>An empty pass is lit before the first ingredient is placed down.</t>
        </is>
      </c>
      <c r="K11" s="7" t="inlineStr">
        <is>
          <t>See the making / request the next approved table.</t>
        </is>
      </c>
      <c r="L11" s="7" t="inlineStr">
        <is>
          <t>Concept storyboard direction: 12 frames; all pack, product, claim, cast, music, venue and end-card details proposed/TBC.</t>
        </is>
      </c>
      <c r="M11" s="7" t="n">
        <v>12</v>
      </c>
      <c r="N11" s="7" t="inlineStr">
        <is>
          <t>Concept storyboard ready</t>
        </is>
      </c>
      <c r="O11" s="7" t="inlineStr">
        <is>
          <t>Client facts, legal/claims, food safety, cast, locations, rights, music, subtitles and end-card required</t>
        </is>
      </c>
      <c r="P11" s="7" t="inlineStr">
        <is>
          <t>Drive upload pending</t>
        </is>
      </c>
      <c r="Q11" s="7" t="inlineStr">
        <is>
          <t>v1.0</t>
        </is>
      </c>
    </row>
    <row r="12" ht="44" customHeight="1">
      <c r="A12" s="1" t="n"/>
      <c r="B12" s="4" t="inlineStr">
        <is>
          <t>COM-2026-FNB-006</t>
        </is>
      </c>
      <c r="C12" s="4" t="inlineStr">
        <is>
          <t>Listen to the Cup</t>
        </is>
      </c>
      <c r="D12" s="4" t="inlineStr">
        <is>
          <t>ခွက်ကို နားထောင်ပါ</t>
        </is>
      </c>
      <c r="E12" s="4" t="inlineStr">
        <is>
          <t>30-second sensory coffee-and-tea sound film</t>
        </is>
      </c>
      <c r="F12" s="4" t="inlineStr">
        <is>
          <t>CMP-2026-FNB-006</t>
        </is>
      </c>
      <c r="G12" s="4" t="inlineStr">
        <is>
          <t>Coffee and tea language can feel exclusive before a person discovers their own sensory vocabulary.</t>
        </is>
      </c>
      <c r="H12" s="4" t="inlineStr">
        <is>
          <t>Invite adult viewers to a client-approved sensory learning session or preference profile.</t>
        </is>
      </c>
      <c r="I12" s="4" t="inlineStr">
        <is>
          <t>Taste begins before the first sip.</t>
        </is>
      </c>
      <c r="J12" s="4" t="inlineStr">
        <is>
          <t>A quiet black screen opens with one pour and one breath.</t>
        </is>
      </c>
      <c r="K12" s="4" t="inlineStr">
        <is>
          <t>Start with your senses—choose an approved next session.</t>
        </is>
      </c>
      <c r="L12" s="4" t="inlineStr">
        <is>
          <t>Concept storyboard direction: 12 frames; all pack, product, claim, cast, music, venue and end-card details proposed/TBC.</t>
        </is>
      </c>
      <c r="M12" s="4" t="n">
        <v>12</v>
      </c>
      <c r="N12" s="4" t="inlineStr">
        <is>
          <t>Concept storyboard ready</t>
        </is>
      </c>
      <c r="O12" s="4" t="inlineStr">
        <is>
          <t>Client facts, legal/claims, food safety, cast, locations, rights, music, subtitles and end-card required</t>
        </is>
      </c>
      <c r="P12" s="4" t="inlineStr">
        <is>
          <t>Drive upload pending</t>
        </is>
      </c>
      <c r="Q12" s="4" t="inlineStr">
        <is>
          <t>v1.0</t>
        </is>
      </c>
    </row>
    <row r="13" ht="44" customHeight="1">
      <c r="A13" s="1" t="n"/>
      <c r="B13" s="7" t="inlineStr">
        <is>
          <t>COM-2026-FNB-007</t>
        </is>
      </c>
      <c r="C13" s="7" t="inlineStr">
        <is>
          <t>Small Tables, Long Stories</t>
        </is>
      </c>
      <c r="D13" s="7" t="inlineStr">
        <is>
          <t>စားပွဲငယ်များ၊ ဇာတ်လမ်းရှည်များ</t>
        </is>
      </c>
      <c r="E13" s="7" t="inlineStr">
        <is>
          <t>60-second neighbourhood food-trail social film</t>
        </is>
      </c>
      <c r="F13" s="7" t="inlineStr">
        <is>
          <t>CMP-2026-FNB-007</t>
        </is>
      </c>
      <c r="G13" s="7" t="inlineStr">
        <is>
          <t>Distinct local food businesses can be hard to discover without flattening them into a generic list.</t>
        </is>
      </c>
      <c r="H13" s="7" t="inlineStr">
        <is>
          <t>Drive a voluntary route-passport start while foregrounding neighbourhood discovery and safe participation.</t>
        </is>
      </c>
      <c r="I13" s="7" t="inlineStr">
        <is>
          <t>A city is read one small table at a time.</t>
        </is>
      </c>
      <c r="J13" s="7" t="inlineStr">
        <is>
          <t>A folded route map becomes a sequence of table surfaces across a neighbourhood.</t>
        </is>
      </c>
      <c r="K13" s="7" t="inlineStr">
        <is>
          <t>Choose a neighbourhood route—start only from the approved map.</t>
        </is>
      </c>
      <c r="L13" s="7" t="inlineStr">
        <is>
          <t>Concept storyboard direction: 12 frames; all pack, product, claim, cast, music, venue and end-card details proposed/TBC.</t>
        </is>
      </c>
      <c r="M13" s="7" t="n">
        <v>12</v>
      </c>
      <c r="N13" s="7" t="inlineStr">
        <is>
          <t>Concept storyboard ready</t>
        </is>
      </c>
      <c r="O13" s="7" t="inlineStr">
        <is>
          <t>Client facts, legal/claims, food safety, cast, locations, rights, music, subtitles and end-card required</t>
        </is>
      </c>
      <c r="P13" s="7" t="inlineStr">
        <is>
          <t>Drive upload pending</t>
        </is>
      </c>
      <c r="Q13" s="7" t="inlineStr">
        <is>
          <t>v1.0</t>
        </is>
      </c>
    </row>
    <row r="14" ht="44" customHeight="1">
      <c r="A14" s="1" t="n"/>
      <c r="B14" s="4" t="inlineStr">
        <is>
          <t>COM-2026-FNB-008</t>
        </is>
      </c>
      <c r="C14" s="4" t="inlineStr">
        <is>
          <t>The Table You Build</t>
        </is>
      </c>
      <c r="D14" s="4" t="inlineStr">
        <is>
          <t>သင်တည်ဆောက်တဲ့ စားပွဲ</t>
        </is>
      </c>
      <c r="E14" s="4" t="inlineStr">
        <is>
          <t>45-second festive-hosting vertical film series hero cut</t>
        </is>
      </c>
      <c r="F14" s="4" t="inlineStr">
        <is>
          <t>CMP-2026-FNB-008</t>
        </is>
      </c>
      <c r="G14" s="4" t="inlineStr">
        <is>
          <t>Hosting can feel stressful because people need to coordinate a table before they know what they need.</t>
        </is>
      </c>
      <c r="H14" s="4" t="inlineStr">
        <is>
          <t>Prompt client-approved hosting-planner completion and group-order enquiry.</t>
        </is>
      </c>
      <c r="I14" s="4" t="inlineStr">
        <is>
          <t>A shared table starts with one thoughtful question.</t>
        </is>
      </c>
      <c r="J14" s="4" t="inlineStr">
        <is>
          <t>A bare table is transformed by handwritten names, not product shots.</t>
        </is>
      </c>
      <c r="K14" s="4" t="inlineStr">
        <is>
          <t>Build your approved hosting plan / request the next step.</t>
        </is>
      </c>
      <c r="L14" s="4" t="inlineStr">
        <is>
          <t>Concept storyboard direction: 12 frames; all pack, product, claim, cast, music, venue and end-card details proposed/TBC.</t>
        </is>
      </c>
      <c r="M14" s="4" t="n">
        <v>12</v>
      </c>
      <c r="N14" s="4" t="inlineStr">
        <is>
          <t>Concept storyboard ready</t>
        </is>
      </c>
      <c r="O14" s="4" t="inlineStr">
        <is>
          <t>Client facts, legal/claims, food safety, cast, locations, rights, music, subtitles and end-card required</t>
        </is>
      </c>
      <c r="P14" s="4" t="inlineStr">
        <is>
          <t>Drive upload pending</t>
        </is>
      </c>
      <c r="Q14" s="4" t="inlineStr">
        <is>
          <t>v1.0</t>
        </is>
      </c>
    </row>
    <row r="15" ht="44" customHeight="1">
      <c r="A15" s="1" t="n"/>
      <c r="B15" s="7" t="inlineStr">
        <is>
          <t>COM-2026-FNB-009</t>
        </is>
      </c>
      <c r="C15" s="7" t="inlineStr">
        <is>
          <t>One Bite, Then the Brief</t>
        </is>
      </c>
      <c r="D15" s="7" t="inlineStr">
        <is>
          <t>တစ်ကိုက်ပြီးမှ စကားဝိုင်းစတင်မယ်</t>
        </is>
      </c>
      <c r="E15" s="7" t="inlineStr">
        <is>
          <t>45-second B2B food-trade preview film</t>
        </is>
      </c>
      <c r="F15" s="7" t="inlineStr">
        <is>
          <t>CMP-2026-FNB-009</t>
        </is>
      </c>
      <c r="G15" s="7" t="inlineStr">
        <is>
          <t>A promising food product can create interest without a respectful structure for the next business conversation.</t>
        </is>
      </c>
      <c r="H15" s="7" t="inlineStr">
        <is>
          <t>Invite qualified buyers and producers to a client-approved review or category-conversation route.</t>
        </is>
      </c>
      <c r="I15" s="7" t="inlineStr">
        <is>
          <t>A bite can start a better question.</t>
        </is>
      </c>
      <c r="J15" s="7" t="inlineStr">
        <is>
          <t>A buyer’s notebook opens before any product is shown.</t>
        </is>
      </c>
      <c r="K15" s="7" t="inlineStr">
        <is>
          <t>Bring the right questions—request an approved trade preview.</t>
        </is>
      </c>
      <c r="L15" s="7" t="inlineStr">
        <is>
          <t>Concept storyboard direction: 12 frames; all pack, product, claim, cast, music, venue and end-card details proposed/TBC.</t>
        </is>
      </c>
      <c r="M15" s="7" t="n">
        <v>12</v>
      </c>
      <c r="N15" s="7" t="inlineStr">
        <is>
          <t>Concept storyboard ready</t>
        </is>
      </c>
      <c r="O15" s="7" t="inlineStr">
        <is>
          <t>Client facts, legal/claims, food safety, cast, locations, rights, music, subtitles and end-card required</t>
        </is>
      </c>
      <c r="P15" s="7" t="inlineStr">
        <is>
          <t>Drive upload pending</t>
        </is>
      </c>
      <c r="Q15" s="7" t="inlineStr">
        <is>
          <t>v1.0</t>
        </is>
      </c>
    </row>
    <row r="16" ht="44" customHeight="1">
      <c r="A16" s="1" t="n"/>
      <c r="B16" s="4" t="inlineStr">
        <is>
          <t>COM-2026-FNB-010</t>
        </is>
      </c>
      <c r="C16" s="4" t="inlineStr">
        <is>
          <t>The Second Serving</t>
        </is>
      </c>
      <c r="D16" s="4" t="inlineStr">
        <is>
          <t>ဒုတိယအကြိမ် စားသုံးမှု</t>
        </is>
      </c>
      <c r="E16" s="4" t="inlineStr">
        <is>
          <t>35-second feedback-to-return product dialogue commercial</t>
        </is>
      </c>
      <c r="F16" s="4" t="inlineStr">
        <is>
          <t>CMP-2026-FNB-010</t>
        </is>
      </c>
      <c r="G16" s="4" t="inlineStr">
        <is>
          <t>A first trial does not automatically teach a brand why a customer did or did not return.</t>
        </is>
      </c>
      <c r="H16" s="4" t="inlineStr">
        <is>
          <t>Invite existing client-approved customers to give structured feedback and choose a future client-approved update.</t>
        </is>
      </c>
      <c r="I16" s="4" t="inlineStr">
        <is>
          <t>The second serving begins with listening.</t>
        </is>
      </c>
      <c r="J16" s="4" t="inlineStr">
        <is>
          <t>A used, clean product pack sits beside a written note: “What would make this easier?”</t>
        </is>
      </c>
      <c r="K16" s="4" t="inlineStr">
        <is>
          <t>Tell us what the next serving should solve—choose your approved response path.</t>
        </is>
      </c>
      <c r="L16" s="4" t="inlineStr">
        <is>
          <t>Concept storyboard direction: 12 frames; all pack, product, claim, cast, music, venue and end-card details proposed/TBC.</t>
        </is>
      </c>
      <c r="M16" s="4" t="n">
        <v>12</v>
      </c>
      <c r="N16" s="4" t="inlineStr">
        <is>
          <t>Concept storyboard ready</t>
        </is>
      </c>
      <c r="O16" s="4" t="inlineStr">
        <is>
          <t>Client facts, legal/claims, food safety, cast, locations, rights, music, subtitles and end-card required</t>
        </is>
      </c>
      <c r="P16" s="4" t="inlineStr">
        <is>
          <t>Drive upload pending</t>
        </is>
      </c>
      <c r="Q16" s="4" t="inlineStr">
        <is>
          <t>v1.0</t>
        </is>
      </c>
    </row>
  </sheetData>
  <autoFilter ref="B6:Q16"/>
  <mergeCells count="2">
    <mergeCell ref="B2:Q2"/>
    <mergeCell ref="B3:Q3"/>
  </mergeCells>
  <conditionalFormatting sqref="L7:L16">
    <cfRule type="dataBar" priority="1">
      <dataBar>
        <cfvo type="min"/>
        <cfvo type="max"/>
        <color rgb="001A6A68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34" customWidth="1" min="5" max="5"/>
    <col width="42" customWidth="1" min="6" max="6"/>
    <col width="52" customWidth="1" min="7" max="7"/>
    <col width="14" customWidth="1" min="8" max="8"/>
    <col width="22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inlineStr">
        <is>
          <t>Research &amp; Evidence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1" t="inlineStr">
        <is>
          <t>Each source is public context only. Read the use limitation before applying it to any proposal.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28" customHeight="1">
      <c r="A6" s="1" t="n"/>
      <c r="B6" s="6" t="inlineStr">
        <is>
          <t>Source ID</t>
        </is>
      </c>
      <c r="C6" s="6" t="inlineStr">
        <is>
          <t>Source</t>
        </is>
      </c>
      <c r="D6" s="6" t="inlineStr">
        <is>
          <t>Type</t>
        </is>
      </c>
      <c r="E6" s="6" t="inlineStr">
        <is>
          <t>Finding retained</t>
        </is>
      </c>
      <c r="F6" s="6" t="inlineStr">
        <is>
          <t>Use limitation</t>
        </is>
      </c>
      <c r="G6" s="6" t="inlineStr">
        <is>
          <t>URL</t>
        </is>
      </c>
      <c r="H6" s="6" t="inlineStr">
        <is>
          <t>Date</t>
        </is>
      </c>
      <c r="I6" s="6" t="inlineStr">
        <is>
          <t>Use</t>
        </is>
      </c>
      <c r="J6" s="6" t="inlineStr">
        <is>
          <t>Status</t>
        </is>
      </c>
    </row>
    <row r="7" ht="44" customHeight="1">
      <c r="A7" s="1" t="n"/>
      <c r="B7" s="7" t="inlineStr">
        <is>
          <t>FNB-S01</t>
        </is>
      </c>
      <c r="C7" s="7" t="inlineStr">
        <is>
          <t>USDA FAS — Food Service</t>
        </is>
      </c>
      <c r="D7" s="7" t="inlineStr">
        <is>
          <t>Government market-report landing page</t>
        </is>
      </c>
      <c r="E7" s="7" t="inlineStr">
        <is>
          <t>Food-service sector scope/context</t>
        </is>
      </c>
      <c r="F7" s="7" t="inlineStr">
        <is>
          <t>No detailed local claims retained</t>
        </is>
      </c>
      <c r="G7" s="7" t="inlineStr">
        <is>
          <t>https://www.fas.usda.gov/data/gain/2025/02/burma-food-service-hotel-restaurant-institutional</t>
        </is>
      </c>
      <c r="H7" s="7" t="inlineStr">
        <is>
          <t>2025-02-11</t>
        </is>
      </c>
      <c r="I7" s="7" t="inlineStr">
        <is>
          <t>Context only</t>
        </is>
      </c>
      <c r="J7" s="7" t="inlineStr">
        <is>
          <t>Verified</t>
        </is>
      </c>
    </row>
    <row r="8" ht="44" customHeight="1">
      <c r="A8" s="1" t="n"/>
      <c r="B8" s="4" t="inlineStr">
        <is>
          <t>FNB-S02</t>
        </is>
      </c>
      <c r="C8" s="4" t="inlineStr">
        <is>
          <t>Xinhua — Tastes of Golden Land</t>
        </is>
      </c>
      <c r="D8" s="4" t="inlineStr">
        <is>
          <t>Public media/event coverage</t>
        </is>
      </c>
      <c r="E8" s="4" t="inlineStr">
        <is>
          <t>Traditional food show mechanics, regional products, MSME networking</t>
        </is>
      </c>
      <c r="F8" s="4" t="inlineStr">
        <is>
          <t>Historical event only; no future partnership/venue claim</t>
        </is>
      </c>
      <c r="G8" s="4" t="inlineStr">
        <is>
          <t>https://english.news.cn/20260726/49ff2f8a557b4825a58978e89ccccc61/c.html</t>
        </is>
      </c>
      <c r="H8" s="4" t="inlineStr">
        <is>
          <t>2026-07-26</t>
        </is>
      </c>
      <c r="I8" s="4" t="inlineStr">
        <is>
          <t>Event format context</t>
        </is>
      </c>
      <c r="J8" s="4" t="inlineStr">
        <is>
          <t>Verified</t>
        </is>
      </c>
    </row>
    <row r="9" ht="44" customHeight="1">
      <c r="A9" s="1" t="n"/>
      <c r="B9" s="7" t="inlineStr">
        <is>
          <t>FNB-S04</t>
        </is>
      </c>
      <c r="C9" s="7" t="inlineStr">
        <is>
          <t>Myanmar Government — Upcoming Holidays</t>
        </is>
      </c>
      <c r="D9" s="7" t="inlineStr">
        <is>
          <t>Official calendar</t>
        </is>
      </c>
      <c r="E9" s="7" t="inlineStr">
        <is>
          <t>Q4 2026 holiday guardrails</t>
        </is>
      </c>
      <c r="F9" s="7" t="inlineStr">
        <is>
          <t>Calendar only; not demand/operations proof</t>
        </is>
      </c>
      <c r="G9" s="7" t="inlineStr">
        <is>
          <t>https://myanmar.gov.mm/upcoming-holidays</t>
        </is>
      </c>
      <c r="H9" s="7" t="inlineStr">
        <is>
          <t>2026-08-21</t>
        </is>
      </c>
      <c r="I9" s="7" t="inlineStr">
        <is>
          <t>Calendar</t>
        </is>
      </c>
      <c r="J9" s="7" t="inlineStr">
        <is>
          <t>Verified</t>
        </is>
      </c>
    </row>
    <row r="10" ht="44" customHeight="1">
      <c r="A10" s="1" t="n"/>
      <c r="B10" s="4" t="inlineStr">
        <is>
          <t>FNB-S05</t>
        </is>
      </c>
      <c r="C10" s="4" t="inlineStr">
        <is>
          <t>Myanmar eVisa — Public Holidays</t>
        </is>
      </c>
      <c r="D10" s="4" t="inlineStr">
        <is>
          <t>Official calendar</t>
        </is>
      </c>
      <c r="E10" s="4" t="inlineStr">
        <is>
          <t>Q4 date corroboration</t>
        </is>
      </c>
      <c r="F10" s="4" t="inlineStr">
        <is>
          <t>Calendar only</t>
        </is>
      </c>
      <c r="G10" s="4" t="inlineStr">
        <is>
          <t>https://evisa.moip.gov.mm/notice/public-holiday</t>
        </is>
      </c>
      <c r="H10" s="4" t="inlineStr">
        <is>
          <t>2026-08-21</t>
        </is>
      </c>
      <c r="I10" s="4" t="inlineStr">
        <is>
          <t>Calendar</t>
        </is>
      </c>
      <c r="J10" s="4" t="inlineStr">
        <is>
          <t>Verified</t>
        </is>
      </c>
    </row>
    <row r="11" ht="44" customHeight="1">
      <c r="A11" s="1" t="n"/>
      <c r="B11" s="7" t="inlineStr">
        <is>
          <t>FNB-S06</t>
        </is>
      </c>
      <c r="C11" s="7" t="inlineStr">
        <is>
          <t>Tilleke — Myanmar-language labeling</t>
        </is>
      </c>
      <c r="D11" s="7" t="inlineStr">
        <is>
          <t>Public legal commentary</t>
        </is>
      </c>
      <c r="E11" s="7" t="inlineStr">
        <is>
          <t>Packaging/label review reminder</t>
        </is>
      </c>
      <c r="F11" s="7" t="inlineStr">
        <is>
          <t>Not legal advice/current product determination</t>
        </is>
      </c>
      <c r="G11" s="7" t="inlineStr">
        <is>
          <t>https://www.tilleke.com/insights/myanmar-language-labeling-required-wide-range-products/</t>
        </is>
      </c>
      <c r="H11" s="7" t="inlineStr">
        <is>
          <t>2018-10-26</t>
        </is>
      </c>
      <c r="I11" s="7" t="inlineStr">
        <is>
          <t>Compliance boundary</t>
        </is>
      </c>
      <c r="J11" s="7" t="inlineStr">
        <is>
          <t>Verified context</t>
        </is>
      </c>
    </row>
    <row r="12" ht="44" customHeight="1">
      <c r="A12" s="1" t="n"/>
      <c r="B12" s="4" t="inlineStr">
        <is>
          <t>FNB-S07</t>
        </is>
      </c>
      <c r="C12" s="4" t="inlineStr">
        <is>
          <t>MITV — Tastes of Golden Land</t>
        </is>
      </c>
      <c r="D12" s="4" t="inlineStr">
        <is>
          <t>Official local coverage</t>
        </is>
      </c>
      <c r="E12" s="4" t="inlineStr">
        <is>
          <t>Competition/exhibition/sales format context</t>
        </is>
      </c>
      <c r="F12" s="4" t="inlineStr">
        <is>
          <t>Historical only</t>
        </is>
      </c>
      <c r="G12" s="4" t="inlineStr">
        <is>
          <t>https://www.myanmaritv.com/news/tastes-golden-land-myanmar-traditional-food-competition-and-exhibition</t>
        </is>
      </c>
      <c r="H12" s="4" t="inlineStr">
        <is>
          <t>2026-07-26</t>
        </is>
      </c>
      <c r="I12" s="4" t="inlineStr">
        <is>
          <t>Event format context</t>
        </is>
      </c>
      <c r="J12" s="4" t="inlineStr">
        <is>
          <t>Verified</t>
        </is>
      </c>
    </row>
    <row r="13" ht="44" customHeight="1">
      <c r="A13" s="1" t="n"/>
      <c r="B13" s="7" t="inlineStr">
        <is>
          <t>FNB-S08</t>
        </is>
      </c>
      <c r="C13" s="7" t="inlineStr">
        <is>
          <t>MOI — Traditional Food Exhibition</t>
        </is>
      </c>
      <c r="D13" s="7" t="inlineStr">
        <is>
          <t>Official publisher</t>
        </is>
      </c>
      <c r="E13" s="7" t="inlineStr">
        <is>
          <t>Panels, associations, demos, booths context</t>
        </is>
      </c>
      <c r="F13" s="7" t="inlineStr">
        <is>
          <t>No forecast/partnership claim</t>
        </is>
      </c>
      <c r="G13" s="7" t="inlineStr">
        <is>
          <t>https://www.moi.gov.mm/moi%3Aeng/news/21664</t>
        </is>
      </c>
      <c r="H13" s="7" t="inlineStr">
        <is>
          <t>2026-07-27</t>
        </is>
      </c>
      <c r="I13" s="7" t="inlineStr">
        <is>
          <t>Event format context</t>
        </is>
      </c>
      <c r="J13" s="7" t="inlineStr">
        <is>
          <t>Verified</t>
        </is>
      </c>
    </row>
    <row r="14" ht="44" customHeight="1">
      <c r="A14" s="1" t="n"/>
      <c r="B14" s="4" t="inlineStr">
        <is>
          <t>FNB-S09</t>
        </is>
      </c>
      <c r="C14" s="4" t="inlineStr">
        <is>
          <t>GNLM — Signature Foods</t>
        </is>
      </c>
      <c r="D14" s="4" t="inlineStr">
        <is>
          <t>Local publisher/MNA coverage</t>
        </is>
      </c>
      <c r="E14" s="4" t="inlineStr">
        <is>
          <t>Fine dining/regional-display/knowledge-exchange context</t>
        </is>
      </c>
      <c r="F14" s="4" t="inlineStr">
        <is>
          <t>No future sponsor/endorsement claim</t>
        </is>
      </c>
      <c r="G14" s="4" t="inlineStr">
        <is>
          <t>https://www.gnlm.com.mm/myanmar-urged-to-cultivate-signature-foods/</t>
        </is>
      </c>
      <c r="H14" s="4" t="inlineStr">
        <is>
          <t>2026-07-26</t>
        </is>
      </c>
      <c r="I14" s="4" t="inlineStr">
        <is>
          <t>Cultural/format context</t>
        </is>
      </c>
      <c r="J14" s="4" t="inlineStr">
        <is>
          <t>Verified</t>
        </is>
      </c>
    </row>
    <row r="15" ht="44" customHeight="1">
      <c r="A15" s="1" t="n"/>
      <c r="B15" s="7" t="inlineStr">
        <is>
          <t>FNB-S10</t>
        </is>
      </c>
      <c r="C15" s="7" t="inlineStr">
        <is>
          <t>Inter Myanmar Channel — HORECA video</t>
        </is>
      </c>
      <c r="D15" s="7" t="inlineStr">
        <is>
          <t>First-hand public video</t>
        </is>
      </c>
      <c r="E15" s="7" t="inlineStr">
        <is>
          <t>Observed demo, skills, tasting, seating/stage mechanics</t>
        </is>
      </c>
      <c r="F15" s="7" t="inlineStr">
        <is>
          <t>All named event/brand/date/sponsor claims separately unverified</t>
        </is>
      </c>
      <c r="G15" s="7" t="inlineStr">
        <is>
          <t>https://www.youtube.com/watch?v=mbh1472c2HI</t>
        </is>
      </c>
      <c r="H15" s="7" t="inlineStr">
        <is>
          <t>2026-08-21</t>
        </is>
      </c>
      <c r="I15" s="7" t="inlineStr">
        <is>
          <t>Observed mechanics only</t>
        </is>
      </c>
      <c r="J15" s="7" t="inlineStr">
        <is>
          <t>Use with limitation</t>
        </is>
      </c>
    </row>
  </sheetData>
  <autoFilter ref="B6:J15"/>
  <mergeCells count="2">
    <mergeCell ref="B3:I3"/>
    <mergeCell ref="B2:I2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6" customWidth="1" min="4" max="4"/>
    <col width="16" customWidth="1" min="5" max="5"/>
    <col width="42" customWidth="1" min="6" max="6"/>
    <col width="24" customWidth="1" min="7" max="7"/>
    <col width="18" customWidth="1" min="8" max="8"/>
    <col width="16" customWidth="1" min="9" max="9"/>
    <col width="3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inlineStr">
        <is>
          <t>Human Decision Gates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1" t="inlineStr">
        <is>
          <t>This is the non-automated control layer. Named human owners must clear each gate before the next production action.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28" customHeight="1">
      <c r="A6" s="1" t="n"/>
      <c r="B6" s="6" t="inlineStr">
        <is>
          <t>Gate record</t>
        </is>
      </c>
      <c r="C6" s="6" t="inlineStr">
        <is>
          <t>Record ID</t>
        </is>
      </c>
      <c r="D6" s="6" t="inlineStr">
        <is>
          <t>Track</t>
        </is>
      </c>
      <c r="E6" s="6" t="inlineStr">
        <is>
          <t>Gate</t>
        </is>
      </c>
      <c r="F6" s="6" t="inlineStr">
        <is>
          <t>Decision question</t>
        </is>
      </c>
      <c r="G6" s="6" t="inlineStr">
        <is>
          <t>Owner</t>
        </is>
      </c>
      <c r="H6" s="6" t="inlineStr">
        <is>
          <t>Due / timing</t>
        </is>
      </c>
      <c r="I6" s="6" t="inlineStr">
        <is>
          <t>Status</t>
        </is>
      </c>
      <c r="J6" s="6" t="inlineStr">
        <is>
          <t>Evidence required</t>
        </is>
      </c>
    </row>
    <row r="7" ht="44" customHeight="1">
      <c r="A7" s="1" t="n"/>
      <c r="B7" s="7" t="inlineStr">
        <is>
          <t>GATE-001-G1</t>
        </is>
      </c>
      <c r="C7" s="7" t="inlineStr">
        <is>
          <t>CMP-2026-FNB-001</t>
        </is>
      </c>
      <c r="D7" s="7" t="inlineStr">
        <is>
          <t>Campaign</t>
        </is>
      </c>
      <c r="E7" s="7" t="inlineStr">
        <is>
          <t>G1 Research Cleared</t>
        </is>
      </c>
      <c r="F7" s="7" t="inlineStr">
        <is>
          <t>Are public facts, use limitations and product/claims boundaries sufficient for concept development?</t>
        </is>
      </c>
      <c r="G7" s="7" t="inlineStr">
        <is>
          <t>Client evidence owner</t>
        </is>
      </c>
      <c r="H7" s="7" t="inlineStr">
        <is>
          <t>Before development</t>
        </is>
      </c>
      <c r="I7" s="7" t="inlineStr">
        <is>
          <t>Pending</t>
        </is>
      </c>
      <c r="J7" s="7" t="inlineStr">
        <is>
          <t>Verified source review + factual product brief</t>
        </is>
      </c>
    </row>
    <row r="8" ht="44" customHeight="1">
      <c r="A8" s="1" t="n"/>
      <c r="B8" s="4" t="inlineStr">
        <is>
          <t>GATE-001-G4</t>
        </is>
      </c>
      <c r="C8" s="4" t="inlineStr">
        <is>
          <t>CMP-2026-FNB-001</t>
        </is>
      </c>
      <c r="D8" s="4" t="inlineStr">
        <is>
          <t>Campaign</t>
        </is>
      </c>
      <c r="E8" s="4" t="inlineStr">
        <is>
          <t>G4 Feasibility</t>
        </is>
      </c>
      <c r="F8" s="4" t="inlineStr">
        <is>
          <t>Are food safety, allergy, hygiene, venue, consent, rights, price/inventory and permit owners named?</t>
        </is>
      </c>
      <c r="G8" s="4" t="inlineStr">
        <is>
          <t>Client operations owner</t>
        </is>
      </c>
      <c r="H8" s="4" t="inlineStr">
        <is>
          <t>Before production</t>
        </is>
      </c>
      <c r="I8" s="4" t="inlineStr">
        <is>
          <t>Pending</t>
        </is>
      </c>
      <c r="J8" s="4" t="inlineStr">
        <is>
          <t>Approved preflight register</t>
        </is>
      </c>
    </row>
    <row r="9" ht="44" customHeight="1">
      <c r="A9" s="1" t="n"/>
      <c r="B9" s="7" t="inlineStr">
        <is>
          <t>GATE-002-G1</t>
        </is>
      </c>
      <c r="C9" s="7" t="inlineStr">
        <is>
          <t>CMP-2026-FNB-002</t>
        </is>
      </c>
      <c r="D9" s="7" t="inlineStr">
        <is>
          <t>Campaign</t>
        </is>
      </c>
      <c r="E9" s="7" t="inlineStr">
        <is>
          <t>G1 Research Cleared</t>
        </is>
      </c>
      <c r="F9" s="7" t="inlineStr">
        <is>
          <t>Are public facts, use limitations and product/claims boundaries sufficient for concept development?</t>
        </is>
      </c>
      <c r="G9" s="7" t="inlineStr">
        <is>
          <t>Client evidence owner</t>
        </is>
      </c>
      <c r="H9" s="7" t="inlineStr">
        <is>
          <t>Before development</t>
        </is>
      </c>
      <c r="I9" s="7" t="inlineStr">
        <is>
          <t>Pending</t>
        </is>
      </c>
      <c r="J9" s="7" t="inlineStr">
        <is>
          <t>Verified source review + factual product brief</t>
        </is>
      </c>
    </row>
    <row r="10" ht="44" customHeight="1">
      <c r="A10" s="1" t="n"/>
      <c r="B10" s="4" t="inlineStr">
        <is>
          <t>GATE-002-G4</t>
        </is>
      </c>
      <c r="C10" s="4" t="inlineStr">
        <is>
          <t>CMP-2026-FNB-002</t>
        </is>
      </c>
      <c r="D10" s="4" t="inlineStr">
        <is>
          <t>Campaign</t>
        </is>
      </c>
      <c r="E10" s="4" t="inlineStr">
        <is>
          <t>G4 Feasibility</t>
        </is>
      </c>
      <c r="F10" s="4" t="inlineStr">
        <is>
          <t>Are food safety, allergy, hygiene, venue, consent, rights, price/inventory and permit owners named?</t>
        </is>
      </c>
      <c r="G10" s="4" t="inlineStr">
        <is>
          <t>Client operations owner</t>
        </is>
      </c>
      <c r="H10" s="4" t="inlineStr">
        <is>
          <t>Before production</t>
        </is>
      </c>
      <c r="I10" s="4" t="inlineStr">
        <is>
          <t>Pending</t>
        </is>
      </c>
      <c r="J10" s="4" t="inlineStr">
        <is>
          <t>Approved preflight register</t>
        </is>
      </c>
    </row>
    <row r="11" ht="44" customHeight="1">
      <c r="A11" s="1" t="n"/>
      <c r="B11" s="7" t="inlineStr">
        <is>
          <t>GATE-003-G1</t>
        </is>
      </c>
      <c r="C11" s="7" t="inlineStr">
        <is>
          <t>CMP-2026-FNB-003</t>
        </is>
      </c>
      <c r="D11" s="7" t="inlineStr">
        <is>
          <t>Campaign</t>
        </is>
      </c>
      <c r="E11" s="7" t="inlineStr">
        <is>
          <t>G1 Research Cleared</t>
        </is>
      </c>
      <c r="F11" s="7" t="inlineStr">
        <is>
          <t>Are public facts, use limitations and product/claims boundaries sufficient for concept development?</t>
        </is>
      </c>
      <c r="G11" s="7" t="inlineStr">
        <is>
          <t>Client evidence owner</t>
        </is>
      </c>
      <c r="H11" s="7" t="inlineStr">
        <is>
          <t>Before development</t>
        </is>
      </c>
      <c r="I11" s="7" t="inlineStr">
        <is>
          <t>Pending</t>
        </is>
      </c>
      <c r="J11" s="7" t="inlineStr">
        <is>
          <t>Verified source review + factual product brief</t>
        </is>
      </c>
    </row>
    <row r="12" ht="44" customHeight="1">
      <c r="A12" s="1" t="n"/>
      <c r="B12" s="4" t="inlineStr">
        <is>
          <t>GATE-003-G4</t>
        </is>
      </c>
      <c r="C12" s="4" t="inlineStr">
        <is>
          <t>CMP-2026-FNB-003</t>
        </is>
      </c>
      <c r="D12" s="4" t="inlineStr">
        <is>
          <t>Campaign</t>
        </is>
      </c>
      <c r="E12" s="4" t="inlineStr">
        <is>
          <t>G4 Feasibility</t>
        </is>
      </c>
      <c r="F12" s="4" t="inlineStr">
        <is>
          <t>Are food safety, allergy, hygiene, venue, consent, rights, price/inventory and permit owners named?</t>
        </is>
      </c>
      <c r="G12" s="4" t="inlineStr">
        <is>
          <t>Client operations owner</t>
        </is>
      </c>
      <c r="H12" s="4" t="inlineStr">
        <is>
          <t>Before production</t>
        </is>
      </c>
      <c r="I12" s="4" t="inlineStr">
        <is>
          <t>Pending</t>
        </is>
      </c>
      <c r="J12" s="4" t="inlineStr">
        <is>
          <t>Approved preflight register</t>
        </is>
      </c>
    </row>
    <row r="13" ht="44" customHeight="1">
      <c r="A13" s="1" t="n"/>
      <c r="B13" s="7" t="inlineStr">
        <is>
          <t>GATE-004-G1</t>
        </is>
      </c>
      <c r="C13" s="7" t="inlineStr">
        <is>
          <t>CMP-2026-FNB-004</t>
        </is>
      </c>
      <c r="D13" s="7" t="inlineStr">
        <is>
          <t>Campaign</t>
        </is>
      </c>
      <c r="E13" s="7" t="inlineStr">
        <is>
          <t>G1 Research Cleared</t>
        </is>
      </c>
      <c r="F13" s="7" t="inlineStr">
        <is>
          <t>Are public facts, use limitations and product/claims boundaries sufficient for concept development?</t>
        </is>
      </c>
      <c r="G13" s="7" t="inlineStr">
        <is>
          <t>Client evidence owner</t>
        </is>
      </c>
      <c r="H13" s="7" t="inlineStr">
        <is>
          <t>Before development</t>
        </is>
      </c>
      <c r="I13" s="7" t="inlineStr">
        <is>
          <t>Pending</t>
        </is>
      </c>
      <c r="J13" s="7" t="inlineStr">
        <is>
          <t>Verified source review + factual product brief</t>
        </is>
      </c>
    </row>
    <row r="14" ht="44" customHeight="1">
      <c r="A14" s="1" t="n"/>
      <c r="B14" s="4" t="inlineStr">
        <is>
          <t>GATE-004-G4</t>
        </is>
      </c>
      <c r="C14" s="4" t="inlineStr">
        <is>
          <t>CMP-2026-FNB-004</t>
        </is>
      </c>
      <c r="D14" s="4" t="inlineStr">
        <is>
          <t>Campaign</t>
        </is>
      </c>
      <c r="E14" s="4" t="inlineStr">
        <is>
          <t>G4 Feasibility</t>
        </is>
      </c>
      <c r="F14" s="4" t="inlineStr">
        <is>
          <t>Are food safety, allergy, hygiene, venue, consent, rights, price/inventory and permit owners named?</t>
        </is>
      </c>
      <c r="G14" s="4" t="inlineStr">
        <is>
          <t>Client operations owner</t>
        </is>
      </c>
      <c r="H14" s="4" t="inlineStr">
        <is>
          <t>Before production</t>
        </is>
      </c>
      <c r="I14" s="4" t="inlineStr">
        <is>
          <t>Pending</t>
        </is>
      </c>
      <c r="J14" s="4" t="inlineStr">
        <is>
          <t>Approved preflight register</t>
        </is>
      </c>
    </row>
    <row r="15" ht="44" customHeight="1">
      <c r="A15" s="1" t="n"/>
      <c r="B15" s="7" t="inlineStr">
        <is>
          <t>GATE-005-G1</t>
        </is>
      </c>
      <c r="C15" s="7" t="inlineStr">
        <is>
          <t>CMP-2026-FNB-005</t>
        </is>
      </c>
      <c r="D15" s="7" t="inlineStr">
        <is>
          <t>Campaign</t>
        </is>
      </c>
      <c r="E15" s="7" t="inlineStr">
        <is>
          <t>G1 Research Cleared</t>
        </is>
      </c>
      <c r="F15" s="7" t="inlineStr">
        <is>
          <t>Are public facts, use limitations and product/claims boundaries sufficient for concept development?</t>
        </is>
      </c>
      <c r="G15" s="7" t="inlineStr">
        <is>
          <t>Client evidence owner</t>
        </is>
      </c>
      <c r="H15" s="7" t="inlineStr">
        <is>
          <t>Before development</t>
        </is>
      </c>
      <c r="I15" s="7" t="inlineStr">
        <is>
          <t>Pending</t>
        </is>
      </c>
      <c r="J15" s="7" t="inlineStr">
        <is>
          <t>Verified source review + factual product brief</t>
        </is>
      </c>
    </row>
    <row r="16" ht="44" customHeight="1">
      <c r="A16" s="1" t="n"/>
      <c r="B16" s="4" t="inlineStr">
        <is>
          <t>GATE-005-G4</t>
        </is>
      </c>
      <c r="C16" s="4" t="inlineStr">
        <is>
          <t>CMP-2026-FNB-005</t>
        </is>
      </c>
      <c r="D16" s="4" t="inlineStr">
        <is>
          <t>Campaign</t>
        </is>
      </c>
      <c r="E16" s="4" t="inlineStr">
        <is>
          <t>G4 Feasibility</t>
        </is>
      </c>
      <c r="F16" s="4" t="inlineStr">
        <is>
          <t>Are food safety, allergy, hygiene, venue, consent, rights, price/inventory and permit owners named?</t>
        </is>
      </c>
      <c r="G16" s="4" t="inlineStr">
        <is>
          <t>Client operations owner</t>
        </is>
      </c>
      <c r="H16" s="4" t="inlineStr">
        <is>
          <t>Before production</t>
        </is>
      </c>
      <c r="I16" s="4" t="inlineStr">
        <is>
          <t>Pending</t>
        </is>
      </c>
      <c r="J16" s="4" t="inlineStr">
        <is>
          <t>Approved preflight register</t>
        </is>
      </c>
    </row>
    <row r="17" ht="44" customHeight="1">
      <c r="A17" s="1" t="n"/>
      <c r="B17" s="7" t="inlineStr">
        <is>
          <t>GATE-006-G1</t>
        </is>
      </c>
      <c r="C17" s="7" t="inlineStr">
        <is>
          <t>CMP-2026-FNB-006</t>
        </is>
      </c>
      <c r="D17" s="7" t="inlineStr">
        <is>
          <t>Campaign</t>
        </is>
      </c>
      <c r="E17" s="7" t="inlineStr">
        <is>
          <t>G1 Research Cleared</t>
        </is>
      </c>
      <c r="F17" s="7" t="inlineStr">
        <is>
          <t>Are public facts, use limitations and product/claims boundaries sufficient for concept development?</t>
        </is>
      </c>
      <c r="G17" s="7" t="inlineStr">
        <is>
          <t>Client evidence owner</t>
        </is>
      </c>
      <c r="H17" s="7" t="inlineStr">
        <is>
          <t>Before development</t>
        </is>
      </c>
      <c r="I17" s="7" t="inlineStr">
        <is>
          <t>Pending</t>
        </is>
      </c>
      <c r="J17" s="7" t="inlineStr">
        <is>
          <t>Verified source review + factual product brief</t>
        </is>
      </c>
    </row>
    <row r="18" ht="44" customHeight="1">
      <c r="A18" s="1" t="n"/>
      <c r="B18" s="4" t="inlineStr">
        <is>
          <t>GATE-006-G4</t>
        </is>
      </c>
      <c r="C18" s="4" t="inlineStr">
        <is>
          <t>CMP-2026-FNB-006</t>
        </is>
      </c>
      <c r="D18" s="4" t="inlineStr">
        <is>
          <t>Campaign</t>
        </is>
      </c>
      <c r="E18" s="4" t="inlineStr">
        <is>
          <t>G4 Feasibility</t>
        </is>
      </c>
      <c r="F18" s="4" t="inlineStr">
        <is>
          <t>Are food safety, allergy, hygiene, venue, consent, rights, price/inventory and permit owners named?</t>
        </is>
      </c>
      <c r="G18" s="4" t="inlineStr">
        <is>
          <t>Client operations owner</t>
        </is>
      </c>
      <c r="H18" s="4" t="inlineStr">
        <is>
          <t>Before production</t>
        </is>
      </c>
      <c r="I18" s="4" t="inlineStr">
        <is>
          <t>Pending</t>
        </is>
      </c>
      <c r="J18" s="4" t="inlineStr">
        <is>
          <t>Approved preflight register</t>
        </is>
      </c>
    </row>
    <row r="19" ht="44" customHeight="1">
      <c r="A19" s="1" t="n"/>
      <c r="B19" s="7" t="inlineStr">
        <is>
          <t>GATE-007-G1</t>
        </is>
      </c>
      <c r="C19" s="7" t="inlineStr">
        <is>
          <t>CMP-2026-FNB-007</t>
        </is>
      </c>
      <c r="D19" s="7" t="inlineStr">
        <is>
          <t>Campaign</t>
        </is>
      </c>
      <c r="E19" s="7" t="inlineStr">
        <is>
          <t>G1 Research Cleared</t>
        </is>
      </c>
      <c r="F19" s="7" t="inlineStr">
        <is>
          <t>Are public facts, use limitations and product/claims boundaries sufficient for concept development?</t>
        </is>
      </c>
      <c r="G19" s="7" t="inlineStr">
        <is>
          <t>Client evidence owner</t>
        </is>
      </c>
      <c r="H19" s="7" t="inlineStr">
        <is>
          <t>Before development</t>
        </is>
      </c>
      <c r="I19" s="7" t="inlineStr">
        <is>
          <t>Pending</t>
        </is>
      </c>
      <c r="J19" s="7" t="inlineStr">
        <is>
          <t>Verified source review + factual product brief</t>
        </is>
      </c>
    </row>
    <row r="20" ht="44" customHeight="1">
      <c r="A20" s="1" t="n"/>
      <c r="B20" s="4" t="inlineStr">
        <is>
          <t>GATE-007-G4</t>
        </is>
      </c>
      <c r="C20" s="4" t="inlineStr">
        <is>
          <t>CMP-2026-FNB-007</t>
        </is>
      </c>
      <c r="D20" s="4" t="inlineStr">
        <is>
          <t>Campaign</t>
        </is>
      </c>
      <c r="E20" s="4" t="inlineStr">
        <is>
          <t>G4 Feasibility</t>
        </is>
      </c>
      <c r="F20" s="4" t="inlineStr">
        <is>
          <t>Are food safety, allergy, hygiene, venue, consent, rights, price/inventory and permit owners named?</t>
        </is>
      </c>
      <c r="G20" s="4" t="inlineStr">
        <is>
          <t>Client operations owner</t>
        </is>
      </c>
      <c r="H20" s="4" t="inlineStr">
        <is>
          <t>Before production</t>
        </is>
      </c>
      <c r="I20" s="4" t="inlineStr">
        <is>
          <t>Pending</t>
        </is>
      </c>
      <c r="J20" s="4" t="inlineStr">
        <is>
          <t>Approved preflight register</t>
        </is>
      </c>
    </row>
    <row r="21" ht="44" customHeight="1">
      <c r="A21" s="1" t="n"/>
      <c r="B21" s="7" t="inlineStr">
        <is>
          <t>GATE-008-G1</t>
        </is>
      </c>
      <c r="C21" s="7" t="inlineStr">
        <is>
          <t>CMP-2026-FNB-008</t>
        </is>
      </c>
      <c r="D21" s="7" t="inlineStr">
        <is>
          <t>Campaign</t>
        </is>
      </c>
      <c r="E21" s="7" t="inlineStr">
        <is>
          <t>G1 Research Cleared</t>
        </is>
      </c>
      <c r="F21" s="7" t="inlineStr">
        <is>
          <t>Are public facts, use limitations and product/claims boundaries sufficient for concept development?</t>
        </is>
      </c>
      <c r="G21" s="7" t="inlineStr">
        <is>
          <t>Client evidence owner</t>
        </is>
      </c>
      <c r="H21" s="7" t="inlineStr">
        <is>
          <t>Before development</t>
        </is>
      </c>
      <c r="I21" s="7" t="inlineStr">
        <is>
          <t>Pending</t>
        </is>
      </c>
      <c r="J21" s="7" t="inlineStr">
        <is>
          <t>Verified source review + factual product brief</t>
        </is>
      </c>
    </row>
    <row r="22" ht="44" customHeight="1">
      <c r="A22" s="1" t="n"/>
      <c r="B22" s="4" t="inlineStr">
        <is>
          <t>GATE-008-G4</t>
        </is>
      </c>
      <c r="C22" s="4" t="inlineStr">
        <is>
          <t>CMP-2026-FNB-008</t>
        </is>
      </c>
      <c r="D22" s="4" t="inlineStr">
        <is>
          <t>Campaign</t>
        </is>
      </c>
      <c r="E22" s="4" t="inlineStr">
        <is>
          <t>G4 Feasibility</t>
        </is>
      </c>
      <c r="F22" s="4" t="inlineStr">
        <is>
          <t>Are food safety, allergy, hygiene, venue, consent, rights, price/inventory and permit owners named?</t>
        </is>
      </c>
      <c r="G22" s="4" t="inlineStr">
        <is>
          <t>Client operations owner</t>
        </is>
      </c>
      <c r="H22" s="4" t="inlineStr">
        <is>
          <t>Before production</t>
        </is>
      </c>
      <c r="I22" s="4" t="inlineStr">
        <is>
          <t>Pending</t>
        </is>
      </c>
      <c r="J22" s="4" t="inlineStr">
        <is>
          <t>Approved preflight register</t>
        </is>
      </c>
    </row>
    <row r="23" ht="44" customHeight="1">
      <c r="A23" s="1" t="n"/>
      <c r="B23" s="7" t="inlineStr">
        <is>
          <t>GATE-009-G1</t>
        </is>
      </c>
      <c r="C23" s="7" t="inlineStr">
        <is>
          <t>CMP-2026-FNB-009</t>
        </is>
      </c>
      <c r="D23" s="7" t="inlineStr">
        <is>
          <t>Campaign</t>
        </is>
      </c>
      <c r="E23" s="7" t="inlineStr">
        <is>
          <t>G1 Research Cleared</t>
        </is>
      </c>
      <c r="F23" s="7" t="inlineStr">
        <is>
          <t>Are public facts, use limitations and product/claims boundaries sufficient for concept development?</t>
        </is>
      </c>
      <c r="G23" s="7" t="inlineStr">
        <is>
          <t>Client evidence owner</t>
        </is>
      </c>
      <c r="H23" s="7" t="inlineStr">
        <is>
          <t>Before development</t>
        </is>
      </c>
      <c r="I23" s="7" t="inlineStr">
        <is>
          <t>Pending</t>
        </is>
      </c>
      <c r="J23" s="7" t="inlineStr">
        <is>
          <t>Verified source review + factual product brief</t>
        </is>
      </c>
    </row>
    <row r="24" ht="44" customHeight="1">
      <c r="A24" s="1" t="n"/>
      <c r="B24" s="4" t="inlineStr">
        <is>
          <t>GATE-009-G4</t>
        </is>
      </c>
      <c r="C24" s="4" t="inlineStr">
        <is>
          <t>CMP-2026-FNB-009</t>
        </is>
      </c>
      <c r="D24" s="4" t="inlineStr">
        <is>
          <t>Campaign</t>
        </is>
      </c>
      <c r="E24" s="4" t="inlineStr">
        <is>
          <t>G4 Feasibility</t>
        </is>
      </c>
      <c r="F24" s="4" t="inlineStr">
        <is>
          <t>Are food safety, allergy, hygiene, venue, consent, rights, price/inventory and permit owners named?</t>
        </is>
      </c>
      <c r="G24" s="4" t="inlineStr">
        <is>
          <t>Client operations owner</t>
        </is>
      </c>
      <c r="H24" s="4" t="inlineStr">
        <is>
          <t>Before production</t>
        </is>
      </c>
      <c r="I24" s="4" t="inlineStr">
        <is>
          <t>Pending</t>
        </is>
      </c>
      <c r="J24" s="4" t="inlineStr">
        <is>
          <t>Approved preflight register</t>
        </is>
      </c>
    </row>
    <row r="25" ht="44" customHeight="1">
      <c r="A25" s="1" t="n"/>
      <c r="B25" s="7" t="inlineStr">
        <is>
          <t>GATE-010-G1</t>
        </is>
      </c>
      <c r="C25" s="7" t="inlineStr">
        <is>
          <t>CMP-2026-FNB-010</t>
        </is>
      </c>
      <c r="D25" s="7" t="inlineStr">
        <is>
          <t>Campaign</t>
        </is>
      </c>
      <c r="E25" s="7" t="inlineStr">
        <is>
          <t>G1 Research Cleared</t>
        </is>
      </c>
      <c r="F25" s="7" t="inlineStr">
        <is>
          <t>Are public facts, use limitations and product/claims boundaries sufficient for concept development?</t>
        </is>
      </c>
      <c r="G25" s="7" t="inlineStr">
        <is>
          <t>Client evidence owner</t>
        </is>
      </c>
      <c r="H25" s="7" t="inlineStr">
        <is>
          <t>Before development</t>
        </is>
      </c>
      <c r="I25" s="7" t="inlineStr">
        <is>
          <t>Pending</t>
        </is>
      </c>
      <c r="J25" s="7" t="inlineStr">
        <is>
          <t>Verified source review + factual product brief</t>
        </is>
      </c>
    </row>
    <row r="26" ht="44" customHeight="1">
      <c r="A26" s="1" t="n"/>
      <c r="B26" s="4" t="inlineStr">
        <is>
          <t>GATE-010-G4</t>
        </is>
      </c>
      <c r="C26" s="4" t="inlineStr">
        <is>
          <t>CMP-2026-FNB-010</t>
        </is>
      </c>
      <c r="D26" s="4" t="inlineStr">
        <is>
          <t>Campaign</t>
        </is>
      </c>
      <c r="E26" s="4" t="inlineStr">
        <is>
          <t>G4 Feasibility</t>
        </is>
      </c>
      <c r="F26" s="4" t="inlineStr">
        <is>
          <t>Are food safety, allergy, hygiene, venue, consent, rights, price/inventory and permit owners named?</t>
        </is>
      </c>
      <c r="G26" s="4" t="inlineStr">
        <is>
          <t>Client operations owner</t>
        </is>
      </c>
      <c r="H26" s="4" t="inlineStr">
        <is>
          <t>Before production</t>
        </is>
      </c>
      <c r="I26" s="4" t="inlineStr">
        <is>
          <t>Pending</t>
        </is>
      </c>
      <c r="J26" s="4" t="inlineStr">
        <is>
          <t>Approved preflight register</t>
        </is>
      </c>
    </row>
    <row r="27" ht="44" customHeight="1">
      <c r="A27" s="1" t="n"/>
      <c r="B27" s="7" t="inlineStr">
        <is>
          <t>GATE-001-G5</t>
        </is>
      </c>
      <c r="C27" s="7" t="inlineStr">
        <is>
          <t>COM-2026-FNB-001</t>
        </is>
      </c>
      <c r="D27" s="7" t="inlineStr">
        <is>
          <t>Commercial</t>
        </is>
      </c>
      <c r="E27" s="7" t="inlineStr">
        <is>
          <t>G5 Go / No-go</t>
        </is>
      </c>
      <c r="F27" s="7" t="inlineStr">
        <is>
          <t>Are script, claims, cast, location, food styling/handling, music, rights, subtitles and CTA approved?</t>
        </is>
      </c>
      <c r="G27" s="7" t="inlineStr">
        <is>
          <t>Client brand/legal owner</t>
        </is>
      </c>
      <c r="H27" s="7" t="inlineStr">
        <is>
          <t>Before shoot</t>
        </is>
      </c>
      <c r="I27" s="7" t="inlineStr">
        <is>
          <t>Pending</t>
        </is>
      </c>
      <c r="J27" s="7" t="inlineStr">
        <is>
          <t>Approved script and production pack</t>
        </is>
      </c>
    </row>
    <row r="28" ht="44" customHeight="1">
      <c r="A28" s="1" t="n"/>
      <c r="B28" s="4" t="inlineStr">
        <is>
          <t>GATE-002-G5</t>
        </is>
      </c>
      <c r="C28" s="4" t="inlineStr">
        <is>
          <t>COM-2026-FNB-002</t>
        </is>
      </c>
      <c r="D28" s="4" t="inlineStr">
        <is>
          <t>Commercial</t>
        </is>
      </c>
      <c r="E28" s="4" t="inlineStr">
        <is>
          <t>G5 Go / No-go</t>
        </is>
      </c>
      <c r="F28" s="4" t="inlineStr">
        <is>
          <t>Are script, claims, cast, location, food styling/handling, music, rights, subtitles and CTA approved?</t>
        </is>
      </c>
      <c r="G28" s="4" t="inlineStr">
        <is>
          <t>Client brand/legal owner</t>
        </is>
      </c>
      <c r="H28" s="4" t="inlineStr">
        <is>
          <t>Before shoot</t>
        </is>
      </c>
      <c r="I28" s="4" t="inlineStr">
        <is>
          <t>Pending</t>
        </is>
      </c>
      <c r="J28" s="4" t="inlineStr">
        <is>
          <t>Approved script and production pack</t>
        </is>
      </c>
    </row>
    <row r="29" ht="44" customHeight="1">
      <c r="A29" s="1" t="n"/>
      <c r="B29" s="7" t="inlineStr">
        <is>
          <t>GATE-003-G5</t>
        </is>
      </c>
      <c r="C29" s="7" t="inlineStr">
        <is>
          <t>COM-2026-FNB-003</t>
        </is>
      </c>
      <c r="D29" s="7" t="inlineStr">
        <is>
          <t>Commercial</t>
        </is>
      </c>
      <c r="E29" s="7" t="inlineStr">
        <is>
          <t>G5 Go / No-go</t>
        </is>
      </c>
      <c r="F29" s="7" t="inlineStr">
        <is>
          <t>Are script, claims, cast, location, food styling/handling, music, rights, subtitles and CTA approved?</t>
        </is>
      </c>
      <c r="G29" s="7" t="inlineStr">
        <is>
          <t>Client brand/legal owner</t>
        </is>
      </c>
      <c r="H29" s="7" t="inlineStr">
        <is>
          <t>Before shoot</t>
        </is>
      </c>
      <c r="I29" s="7" t="inlineStr">
        <is>
          <t>Pending</t>
        </is>
      </c>
      <c r="J29" s="7" t="inlineStr">
        <is>
          <t>Approved script and production pack</t>
        </is>
      </c>
    </row>
    <row r="30" ht="44" customHeight="1">
      <c r="A30" s="1" t="n"/>
      <c r="B30" s="4" t="inlineStr">
        <is>
          <t>GATE-004-G5</t>
        </is>
      </c>
      <c r="C30" s="4" t="inlineStr">
        <is>
          <t>COM-2026-FNB-004</t>
        </is>
      </c>
      <c r="D30" s="4" t="inlineStr">
        <is>
          <t>Commercial</t>
        </is>
      </c>
      <c r="E30" s="4" t="inlineStr">
        <is>
          <t>G5 Go / No-go</t>
        </is>
      </c>
      <c r="F30" s="4" t="inlineStr">
        <is>
          <t>Are script, claims, cast, location, food styling/handling, music, rights, subtitles and CTA approved?</t>
        </is>
      </c>
      <c r="G30" s="4" t="inlineStr">
        <is>
          <t>Client brand/legal owner</t>
        </is>
      </c>
      <c r="H30" s="4" t="inlineStr">
        <is>
          <t>Before shoot</t>
        </is>
      </c>
      <c r="I30" s="4" t="inlineStr">
        <is>
          <t>Pending</t>
        </is>
      </c>
      <c r="J30" s="4" t="inlineStr">
        <is>
          <t>Approved script and production pack</t>
        </is>
      </c>
    </row>
    <row r="31" ht="44" customHeight="1">
      <c r="A31" s="1" t="n"/>
      <c r="B31" s="7" t="inlineStr">
        <is>
          <t>GATE-005-G5</t>
        </is>
      </c>
      <c r="C31" s="7" t="inlineStr">
        <is>
          <t>COM-2026-FNB-005</t>
        </is>
      </c>
      <c r="D31" s="7" t="inlineStr">
        <is>
          <t>Commercial</t>
        </is>
      </c>
      <c r="E31" s="7" t="inlineStr">
        <is>
          <t>G5 Go / No-go</t>
        </is>
      </c>
      <c r="F31" s="7" t="inlineStr">
        <is>
          <t>Are script, claims, cast, location, food styling/handling, music, rights, subtitles and CTA approved?</t>
        </is>
      </c>
      <c r="G31" s="7" t="inlineStr">
        <is>
          <t>Client brand/legal owner</t>
        </is>
      </c>
      <c r="H31" s="7" t="inlineStr">
        <is>
          <t>Before shoot</t>
        </is>
      </c>
      <c r="I31" s="7" t="inlineStr">
        <is>
          <t>Pending</t>
        </is>
      </c>
      <c r="J31" s="7" t="inlineStr">
        <is>
          <t>Approved script and production pack</t>
        </is>
      </c>
    </row>
    <row r="32" ht="44" customHeight="1">
      <c r="A32" s="1" t="n"/>
      <c r="B32" s="4" t="inlineStr">
        <is>
          <t>GATE-006-G5</t>
        </is>
      </c>
      <c r="C32" s="4" t="inlineStr">
        <is>
          <t>COM-2026-FNB-006</t>
        </is>
      </c>
      <c r="D32" s="4" t="inlineStr">
        <is>
          <t>Commercial</t>
        </is>
      </c>
      <c r="E32" s="4" t="inlineStr">
        <is>
          <t>G5 Go / No-go</t>
        </is>
      </c>
      <c r="F32" s="4" t="inlineStr">
        <is>
          <t>Are script, claims, cast, location, food styling/handling, music, rights, subtitles and CTA approved?</t>
        </is>
      </c>
      <c r="G32" s="4" t="inlineStr">
        <is>
          <t>Client brand/legal owner</t>
        </is>
      </c>
      <c r="H32" s="4" t="inlineStr">
        <is>
          <t>Before shoot</t>
        </is>
      </c>
      <c r="I32" s="4" t="inlineStr">
        <is>
          <t>Pending</t>
        </is>
      </c>
      <c r="J32" s="4" t="inlineStr">
        <is>
          <t>Approved script and production pack</t>
        </is>
      </c>
    </row>
    <row r="33" ht="44" customHeight="1">
      <c r="A33" s="1" t="n"/>
      <c r="B33" s="7" t="inlineStr">
        <is>
          <t>GATE-007-G5</t>
        </is>
      </c>
      <c r="C33" s="7" t="inlineStr">
        <is>
          <t>COM-2026-FNB-007</t>
        </is>
      </c>
      <c r="D33" s="7" t="inlineStr">
        <is>
          <t>Commercial</t>
        </is>
      </c>
      <c r="E33" s="7" t="inlineStr">
        <is>
          <t>G5 Go / No-go</t>
        </is>
      </c>
      <c r="F33" s="7" t="inlineStr">
        <is>
          <t>Are script, claims, cast, location, food styling/handling, music, rights, subtitles and CTA approved?</t>
        </is>
      </c>
      <c r="G33" s="7" t="inlineStr">
        <is>
          <t>Client brand/legal owner</t>
        </is>
      </c>
      <c r="H33" s="7" t="inlineStr">
        <is>
          <t>Before shoot</t>
        </is>
      </c>
      <c r="I33" s="7" t="inlineStr">
        <is>
          <t>Pending</t>
        </is>
      </c>
      <c r="J33" s="7" t="inlineStr">
        <is>
          <t>Approved script and production pack</t>
        </is>
      </c>
    </row>
    <row r="34" ht="44" customHeight="1">
      <c r="A34" s="1" t="n"/>
      <c r="B34" s="4" t="inlineStr">
        <is>
          <t>GATE-008-G5</t>
        </is>
      </c>
      <c r="C34" s="4" t="inlineStr">
        <is>
          <t>COM-2026-FNB-008</t>
        </is>
      </c>
      <c r="D34" s="4" t="inlineStr">
        <is>
          <t>Commercial</t>
        </is>
      </c>
      <c r="E34" s="4" t="inlineStr">
        <is>
          <t>G5 Go / No-go</t>
        </is>
      </c>
      <c r="F34" s="4" t="inlineStr">
        <is>
          <t>Are script, claims, cast, location, food styling/handling, music, rights, subtitles and CTA approved?</t>
        </is>
      </c>
      <c r="G34" s="4" t="inlineStr">
        <is>
          <t>Client brand/legal owner</t>
        </is>
      </c>
      <c r="H34" s="4" t="inlineStr">
        <is>
          <t>Before shoot</t>
        </is>
      </c>
      <c r="I34" s="4" t="inlineStr">
        <is>
          <t>Pending</t>
        </is>
      </c>
      <c r="J34" s="4" t="inlineStr">
        <is>
          <t>Approved script and production pack</t>
        </is>
      </c>
    </row>
    <row r="35" ht="44" customHeight="1">
      <c r="A35" s="1" t="n"/>
      <c r="B35" s="7" t="inlineStr">
        <is>
          <t>GATE-009-G5</t>
        </is>
      </c>
      <c r="C35" s="7" t="inlineStr">
        <is>
          <t>COM-2026-FNB-009</t>
        </is>
      </c>
      <c r="D35" s="7" t="inlineStr">
        <is>
          <t>Commercial</t>
        </is>
      </c>
      <c r="E35" s="7" t="inlineStr">
        <is>
          <t>G5 Go / No-go</t>
        </is>
      </c>
      <c r="F35" s="7" t="inlineStr">
        <is>
          <t>Are script, claims, cast, location, food styling/handling, music, rights, subtitles and CTA approved?</t>
        </is>
      </c>
      <c r="G35" s="7" t="inlineStr">
        <is>
          <t>Client brand/legal owner</t>
        </is>
      </c>
      <c r="H35" s="7" t="inlineStr">
        <is>
          <t>Before shoot</t>
        </is>
      </c>
      <c r="I35" s="7" t="inlineStr">
        <is>
          <t>Pending</t>
        </is>
      </c>
      <c r="J35" s="7" t="inlineStr">
        <is>
          <t>Approved script and production pack</t>
        </is>
      </c>
    </row>
    <row r="36" ht="44" customHeight="1">
      <c r="A36" s="1" t="n"/>
      <c r="B36" s="4" t="inlineStr">
        <is>
          <t>GATE-010-G5</t>
        </is>
      </c>
      <c r="C36" s="4" t="inlineStr">
        <is>
          <t>COM-2026-FNB-010</t>
        </is>
      </c>
      <c r="D36" s="4" t="inlineStr">
        <is>
          <t>Commercial</t>
        </is>
      </c>
      <c r="E36" s="4" t="inlineStr">
        <is>
          <t>G5 Go / No-go</t>
        </is>
      </c>
      <c r="F36" s="4" t="inlineStr">
        <is>
          <t>Are script, claims, cast, location, food styling/handling, music, rights, subtitles and CTA approved?</t>
        </is>
      </c>
      <c r="G36" s="4" t="inlineStr">
        <is>
          <t>Client brand/legal owner</t>
        </is>
      </c>
      <c r="H36" s="4" t="inlineStr">
        <is>
          <t>Before shoot</t>
        </is>
      </c>
      <c r="I36" s="4" t="inlineStr">
        <is>
          <t>Pending</t>
        </is>
      </c>
      <c r="J36" s="4" t="inlineStr">
        <is>
          <t>Approved script and production pack</t>
        </is>
      </c>
    </row>
  </sheetData>
  <autoFilter ref="B6:J36"/>
  <mergeCells count="2">
    <mergeCell ref="B3:J3"/>
    <mergeCell ref="B2:J2"/>
  </mergeCells>
  <dataValidations count="1">
    <dataValidation sqref="I7:I36" showDropDown="0" showInputMessage="0" showErrorMessage="0" allowBlank="0" type="list">
      <formula1>"Pending,Approved,Hold,Rejected,Completed"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28" customWidth="1" min="4" max="4"/>
    <col width="28" customWidth="1" min="5" max="5"/>
    <col width="20" customWidth="1" min="6" max="6"/>
    <col width="22" customWidth="1" min="7" max="7"/>
    <col width="20" customWidth="1" min="8" max="8"/>
    <col width="42" customWidth="1" min="9" max="9"/>
    <col width="28" customWidth="1" min="10" max="10"/>
    <col width="14" customWidth="1" min="11" max="11"/>
    <col width="30" customWidth="1" min="12" max="12"/>
    <col width="26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" t="inlineStr">
        <is>
          <t>Live Tracker Import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8" customHeight="1">
      <c r="A3" s="1" t="n"/>
      <c r="B3" s="1" t="inlineStr">
        <is>
          <t>Paste these values into the live ZYNTH Master Tracker only after a human reviews/approves each row.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8" customHeight="1">
      <c r="A6" s="1" t="n"/>
      <c r="B6" s="6" t="inlineStr">
        <is>
          <t>Record ID</t>
        </is>
      </c>
      <c r="C6" s="6" t="inlineStr">
        <is>
          <t>Track</t>
        </is>
      </c>
      <c r="D6" s="6" t="inlineStr">
        <is>
          <t>Title</t>
        </is>
      </c>
      <c r="E6" s="6" t="inlineStr">
        <is>
          <t>Format</t>
        </is>
      </c>
      <c r="F6" s="6" t="inlineStr">
        <is>
          <t>Gate</t>
        </is>
      </c>
      <c r="G6" s="6" t="inlineStr">
        <is>
          <t>Status</t>
        </is>
      </c>
      <c r="H6" s="6" t="inlineStr">
        <is>
          <t>Recommended budget / n.a.</t>
        </is>
      </c>
      <c r="I6" s="6" t="inlineStr">
        <is>
          <t>Primary conversion or CTA</t>
        </is>
      </c>
      <c r="J6" s="6" t="inlineStr">
        <is>
          <t>Source/asset note</t>
        </is>
      </c>
      <c r="K6" s="6" t="inlineStr">
        <is>
          <t>Version</t>
        </is>
      </c>
      <c r="L6" s="6" t="inlineStr">
        <is>
          <t>Batch code</t>
        </is>
      </c>
      <c r="M6" s="6" t="inlineStr">
        <is>
          <t>Data classification</t>
        </is>
      </c>
      <c r="N6" s="1" t="n"/>
    </row>
    <row r="7" ht="44" customHeight="1">
      <c r="A7" s="1" t="n"/>
      <c r="B7" s="7" t="inlineStr">
        <is>
          <t>CMP-2026-FNB-001</t>
        </is>
      </c>
      <c r="C7" s="7" t="inlineStr">
        <is>
          <t>Campaign</t>
        </is>
      </c>
      <c r="D7" s="7" t="inlineStr">
        <is>
          <t>Origin on the Table</t>
        </is>
      </c>
      <c r="E7" s="7" t="inlineStr">
        <is>
          <t>Regional ingredient proof pop-up</t>
        </is>
      </c>
      <c r="F7" s="7" t="inlineStr">
        <is>
          <t>G2 Strategy Selected</t>
        </is>
      </c>
      <c r="G7" s="7" t="inlineStr">
        <is>
          <t>Concept ready</t>
        </is>
      </c>
      <c r="H7" s="8" t="n">
        <v>24800000</v>
      </c>
      <c r="I7" s="7" t="inlineStr">
        <is>
          <t>A three-station tasting card unlocks a QR ingredient/story card and a voluntary next-step preference selection; any order, delivery or purchase destination is client-approved/TBC.</t>
        </is>
      </c>
      <c r="J7" s="7" t="inlineStr">
        <is>
          <t>FNB-S02, FNB-S07, FNB-S08, FNB-S09</t>
        </is>
      </c>
      <c r="K7" s="7" t="inlineStr">
        <is>
          <t>v1.0</t>
        </is>
      </c>
      <c r="L7" s="7" t="inlineStr">
        <is>
          <t>ZYNTH-20260821-FNB-BILINGUAL</t>
        </is>
      </c>
      <c r="M7" s="7" t="inlineStr">
        <is>
          <t>Planning / public context</t>
        </is>
      </c>
      <c r="N7" s="1" t="n"/>
    </row>
    <row r="8" ht="44" customHeight="1">
      <c r="A8" s="1" t="n"/>
      <c r="B8" s="4" t="inlineStr">
        <is>
          <t>CMP-2026-FNB-002</t>
        </is>
      </c>
      <c r="C8" s="4" t="inlineStr">
        <is>
          <t>Campaign</t>
        </is>
      </c>
      <c r="D8" s="4" t="inlineStr">
        <is>
          <t>The Flavour Find</t>
        </is>
      </c>
      <c r="E8" s="4" t="inlineStr">
        <is>
          <t>Retail discovery trail</t>
        </is>
      </c>
      <c r="F8" s="4" t="inlineStr">
        <is>
          <t>G2 Strategy Selected</t>
        </is>
      </c>
      <c r="G8" s="4" t="inlineStr">
        <is>
          <t>Concept ready</t>
        </is>
      </c>
      <c r="H8" s="5" t="n">
        <v>22100000</v>
      </c>
      <c r="I8" s="4" t="inlineStr">
        <is>
          <t>A five-question flavour card issues a route token to two or three client-approved discovery points, ending in a voluntary preference capture or offer reveal.</t>
        </is>
      </c>
      <c r="J8" s="4" t="inlineStr">
        <is>
          <t>FNB-S01, FNB-S10</t>
        </is>
      </c>
      <c r="K8" s="4" t="inlineStr">
        <is>
          <t>v1.0</t>
        </is>
      </c>
      <c r="L8" s="4" t="inlineStr">
        <is>
          <t>ZYNTH-20260821-FNB-BILINGUAL</t>
        </is>
      </c>
      <c r="M8" s="4" t="inlineStr">
        <is>
          <t>Planning / public context</t>
        </is>
      </c>
      <c r="N8" s="1" t="n"/>
    </row>
    <row r="9" ht="44" customHeight="1">
      <c r="A9" s="1" t="n"/>
      <c r="B9" s="7" t="inlineStr">
        <is>
          <t>CMP-2026-FNB-003</t>
        </is>
      </c>
      <c r="C9" s="7" t="inlineStr">
        <is>
          <t>Campaign</t>
        </is>
      </c>
      <c r="D9" s="7" t="inlineStr">
        <is>
          <t>The 15-Minute Table</t>
        </is>
      </c>
      <c r="E9" s="7" t="inlineStr">
        <is>
          <t>Product-launch demonstration and reservation activation</t>
        </is>
      </c>
      <c r="F9" s="7" t="inlineStr">
        <is>
          <t>G2 Strategy Selected</t>
        </is>
      </c>
      <c r="G9" s="7" t="inlineStr">
        <is>
          <t>Concept ready</t>
        </is>
      </c>
      <c r="H9" s="8" t="n">
        <v>28600000</v>
      </c>
      <c r="I9" s="7" t="inlineStr">
        <is>
          <t>Visitors select a real-life meal moment, watch a timed but non-performance-guaranteed demo, and reserve a limited client-approved trial kit or demonstration slot.</t>
        </is>
      </c>
      <c r="J9" s="7" t="inlineStr">
        <is>
          <t>FNB-S02, FNB-S10</t>
        </is>
      </c>
      <c r="K9" s="7" t="inlineStr">
        <is>
          <t>v1.0</t>
        </is>
      </c>
      <c r="L9" s="7" t="inlineStr">
        <is>
          <t>ZYNTH-20260821-FNB-BILINGUAL</t>
        </is>
      </c>
      <c r="M9" s="7" t="inlineStr">
        <is>
          <t>Planning / public context</t>
        </is>
      </c>
      <c r="N9" s="1" t="n"/>
    </row>
    <row r="10" ht="44" customHeight="1">
      <c r="A10" s="1" t="n"/>
      <c r="B10" s="4" t="inlineStr">
        <is>
          <t>CMP-2026-FNB-004</t>
        </is>
      </c>
      <c r="C10" s="4" t="inlineStr">
        <is>
          <t>Campaign</t>
        </is>
      </c>
      <c r="D10" s="4" t="inlineStr">
        <is>
          <t>The Better Break</t>
        </is>
      </c>
      <c r="E10" s="4" t="inlineStr">
        <is>
          <t>B2B workplace tasting and procurement clinic</t>
        </is>
      </c>
      <c r="F10" s="4" t="inlineStr">
        <is>
          <t>G2 Strategy Selected</t>
        </is>
      </c>
      <c r="G10" s="4" t="inlineStr">
        <is>
          <t>Concept ready</t>
        </is>
      </c>
      <c r="H10" s="5" t="n">
        <v>19800000</v>
      </c>
      <c r="I10" s="4" t="inlineStr">
        <is>
          <t>A short preference-and-operations card produces a named tasting/scoping appointment; no catering capacity or outcome is promised at the activation.</t>
        </is>
      </c>
      <c r="J10" s="4" t="inlineStr">
        <is>
          <t>FNB-S01, FNB-S08</t>
        </is>
      </c>
      <c r="K10" s="4" t="inlineStr">
        <is>
          <t>v1.0</t>
        </is>
      </c>
      <c r="L10" s="4" t="inlineStr">
        <is>
          <t>ZYNTH-20260821-FNB-BILINGUAL</t>
        </is>
      </c>
      <c r="M10" s="4" t="inlineStr">
        <is>
          <t>Planning / public context</t>
        </is>
      </c>
      <c r="N10" s="1" t="n"/>
    </row>
    <row r="11" ht="44" customHeight="1">
      <c r="A11" s="1" t="n"/>
      <c r="B11" s="7" t="inlineStr">
        <is>
          <t>CMP-2026-FNB-005</t>
        </is>
      </c>
      <c r="C11" s="7" t="inlineStr">
        <is>
          <t>Campaign</t>
        </is>
      </c>
      <c r="D11" s="7" t="inlineStr">
        <is>
          <t>One Dish, Many Hands</t>
        </is>
      </c>
      <c r="E11" s="7" t="inlineStr">
        <is>
          <t>Chef-led craft demonstration and preview</t>
        </is>
      </c>
      <c r="F11" s="7" t="inlineStr">
        <is>
          <t>G2 Strategy Selected</t>
        </is>
      </c>
      <c r="G11" s="7" t="inlineStr">
        <is>
          <t>Concept ready</t>
        </is>
      </c>
      <c r="H11" s="8" t="n">
        <v>31200000</v>
      </c>
      <c r="I11" s="7" t="inlineStr">
        <is>
          <t>A clearly timed demonstration ends with a question card, a controlled tasting sequence and an optional waitlist or session request.</t>
        </is>
      </c>
      <c r="J11" s="7" t="inlineStr">
        <is>
          <t>FNB-S07, FNB-S08, FNB-S10</t>
        </is>
      </c>
      <c r="K11" s="7" t="inlineStr">
        <is>
          <t>v1.0</t>
        </is>
      </c>
      <c r="L11" s="7" t="inlineStr">
        <is>
          <t>ZYNTH-20260821-FNB-BILINGUAL</t>
        </is>
      </c>
      <c r="M11" s="7" t="inlineStr">
        <is>
          <t>Planning / public context</t>
        </is>
      </c>
      <c r="N11" s="1" t="n"/>
    </row>
    <row r="12" ht="44" customHeight="1">
      <c r="A12" s="1" t="n"/>
      <c r="B12" s="4" t="inlineStr">
        <is>
          <t>CMP-2026-FNB-006</t>
        </is>
      </c>
      <c r="C12" s="4" t="inlineStr">
        <is>
          <t>Campaign</t>
        </is>
      </c>
      <c r="D12" s="4" t="inlineStr">
        <is>
          <t>The Quiet Cup</t>
        </is>
      </c>
      <c r="E12" s="4" t="inlineStr">
        <is>
          <t>Sensory masterclass and membership pathway</t>
        </is>
      </c>
      <c r="F12" s="4" t="inlineStr">
        <is>
          <t>G2 Strategy Selected</t>
        </is>
      </c>
      <c r="G12" s="4" t="inlineStr">
        <is>
          <t>Concept ready</t>
        </is>
      </c>
      <c r="H12" s="5" t="n">
        <v>23700000</v>
      </c>
      <c r="I12" s="4" t="inlineStr">
        <is>
          <t>A guided aroma/flavour scorecard produces a self-selected learning profile and optional registration for a future session, tasting pack or client-approved update.</t>
        </is>
      </c>
      <c r="J12" s="4" t="inlineStr">
        <is>
          <t>FNB-S08, FNB-S10</t>
        </is>
      </c>
      <c r="K12" s="4" t="inlineStr">
        <is>
          <t>v1.0</t>
        </is>
      </c>
      <c r="L12" s="4" t="inlineStr">
        <is>
          <t>ZYNTH-20260821-FNB-BILINGUAL</t>
        </is>
      </c>
      <c r="M12" s="4" t="inlineStr">
        <is>
          <t>Planning / public context</t>
        </is>
      </c>
      <c r="N12" s="1" t="n"/>
    </row>
    <row r="13" ht="44" customHeight="1">
      <c r="A13" s="1" t="n"/>
      <c r="B13" s="7" t="inlineStr">
        <is>
          <t>CMP-2026-FNB-007</t>
        </is>
      </c>
      <c r="C13" s="7" t="inlineStr">
        <is>
          <t>Campaign</t>
        </is>
      </c>
      <c r="D13" s="7" t="inlineStr">
        <is>
          <t>A City of Small Tables</t>
        </is>
      </c>
      <c r="E13" s="7" t="inlineStr">
        <is>
          <t>Neighbourhood food-trail and local-business activation</t>
        </is>
      </c>
      <c r="F13" s="7" t="inlineStr">
        <is>
          <t>G2 Strategy Selected</t>
        </is>
      </c>
      <c r="G13" s="7" t="inlineStr">
        <is>
          <t>Concept ready</t>
        </is>
      </c>
      <c r="H13" s="8" t="n">
        <v>33800000</v>
      </c>
      <c r="I13" s="7" t="inlineStr">
        <is>
          <t>A digital/print passport records client-approved visits or learning moments, then offers a voluntary preference capture and future route update.</t>
        </is>
      </c>
      <c r="J13" s="7" t="inlineStr">
        <is>
          <t>FNB-S02, FNB-S07, FNB-S09</t>
        </is>
      </c>
      <c r="K13" s="7" t="inlineStr">
        <is>
          <t>v1.0</t>
        </is>
      </c>
      <c r="L13" s="7" t="inlineStr">
        <is>
          <t>ZYNTH-20260821-FNB-BILINGUAL</t>
        </is>
      </c>
      <c r="M13" s="7" t="inlineStr">
        <is>
          <t>Planning / public context</t>
        </is>
      </c>
      <c r="N13" s="1" t="n"/>
    </row>
    <row r="14" ht="44" customHeight="1">
      <c r="A14" s="1" t="n"/>
      <c r="B14" s="4" t="inlineStr">
        <is>
          <t>CMP-2026-FNB-008</t>
        </is>
      </c>
      <c r="C14" s="4" t="inlineStr">
        <is>
          <t>Campaign</t>
        </is>
      </c>
      <c r="D14" s="4" t="inlineStr">
        <is>
          <t>The Shared Tray</t>
        </is>
      </c>
      <c r="E14" s="4" t="inlineStr">
        <is>
          <t>Seasonal hosting pop-up and group-order conversion</t>
        </is>
      </c>
      <c r="F14" s="4" t="inlineStr">
        <is>
          <t>G2 Strategy Selected</t>
        </is>
      </c>
      <c r="G14" s="4" t="inlineStr">
        <is>
          <t>Concept ready</t>
        </is>
      </c>
      <c r="H14" s="5" t="n">
        <v>25400000</v>
      </c>
      <c r="I14" s="4" t="inlineStr">
        <is>
          <t>A table-size planner creates a non-binding hosting card and offers an optional client-approved pre-order or consultation request.</t>
        </is>
      </c>
      <c r="J14" s="4" t="inlineStr">
        <is>
          <t>FNB-S04, FNB-S05, FNB-S09</t>
        </is>
      </c>
      <c r="K14" s="4" t="inlineStr">
        <is>
          <t>v1.0</t>
        </is>
      </c>
      <c r="L14" s="4" t="inlineStr">
        <is>
          <t>ZYNTH-20260821-FNB-BILINGUAL</t>
        </is>
      </c>
      <c r="M14" s="4" t="inlineStr">
        <is>
          <t>Planning / public context</t>
        </is>
      </c>
      <c r="N14" s="1" t="n"/>
    </row>
    <row r="15" ht="44" customHeight="1">
      <c r="A15" s="1" t="n"/>
      <c r="B15" s="7" t="inlineStr">
        <is>
          <t>CMP-2026-FNB-009</t>
        </is>
      </c>
      <c r="C15" s="7" t="inlineStr">
        <is>
          <t>Campaign</t>
        </is>
      </c>
      <c r="D15" s="7" t="inlineStr">
        <is>
          <t>The Buyer’s Bite</t>
        </is>
      </c>
      <c r="E15" s="7" t="inlineStr">
        <is>
          <t>Curated B2B trade preview and buyer-meeting clinic</t>
        </is>
      </c>
      <c r="F15" s="7" t="inlineStr">
        <is>
          <t>G2 Strategy Selected</t>
        </is>
      </c>
      <c r="G15" s="7" t="inlineStr">
        <is>
          <t>Concept ready</t>
        </is>
      </c>
      <c r="H15" s="8" t="n">
        <v>36500000</v>
      </c>
      <c r="I15" s="7" t="inlineStr">
        <is>
          <t>A structured buyer card captures criteria and issues a named, consented follow-up request after a client-approved product interaction.</t>
        </is>
      </c>
      <c r="J15" s="7" t="inlineStr">
        <is>
          <t>FNB-S02, FNB-S08, FNB-S09</t>
        </is>
      </c>
      <c r="K15" s="7" t="inlineStr">
        <is>
          <t>v1.0</t>
        </is>
      </c>
      <c r="L15" s="7" t="inlineStr">
        <is>
          <t>ZYNTH-20260821-FNB-BILINGUAL</t>
        </is>
      </c>
      <c r="M15" s="7" t="inlineStr">
        <is>
          <t>Planning / public context</t>
        </is>
      </c>
      <c r="N15" s="1" t="n"/>
    </row>
    <row r="16" ht="44" customHeight="1">
      <c r="A16" s="1" t="n"/>
      <c r="B16" s="4" t="inlineStr">
        <is>
          <t>CMP-2026-FNB-010</t>
        </is>
      </c>
      <c r="C16" s="4" t="inlineStr">
        <is>
          <t>Campaign</t>
        </is>
      </c>
      <c r="D16" s="4" t="inlineStr">
        <is>
          <t>Second Serving</t>
        </is>
      </c>
      <c r="E16" s="4" t="inlineStr">
        <is>
          <t>Product-feedback pop-up and CRM reactivation programme</t>
        </is>
      </c>
      <c r="F16" s="4" t="inlineStr">
        <is>
          <t>G2 Strategy Selected</t>
        </is>
      </c>
      <c r="G16" s="4" t="inlineStr">
        <is>
          <t>Concept ready</t>
        </is>
      </c>
      <c r="H16" s="5" t="n">
        <v>18400000</v>
      </c>
      <c r="I16" s="4" t="inlineStr">
        <is>
          <t>A guided pack-use review captures a priority friction and lets the participant select a future update, trial or client-approved repeat-purchase prompt.</t>
        </is>
      </c>
      <c r="J16" s="4" t="inlineStr">
        <is>
          <t>FNB-S01, FNB-S06</t>
        </is>
      </c>
      <c r="K16" s="4" t="inlineStr">
        <is>
          <t>v1.0</t>
        </is>
      </c>
      <c r="L16" s="4" t="inlineStr">
        <is>
          <t>ZYNTH-20260821-FNB-BILINGUAL</t>
        </is>
      </c>
      <c r="M16" s="4" t="inlineStr">
        <is>
          <t>Planning / public context</t>
        </is>
      </c>
      <c r="N16" s="1" t="n"/>
    </row>
    <row r="17" ht="44" customHeight="1">
      <c r="A17" s="1" t="n"/>
      <c r="B17" s="7" t="inlineStr">
        <is>
          <t>COM-2026-FNB-001</t>
        </is>
      </c>
      <c r="C17" s="7" t="inlineStr">
        <is>
          <t>Commercial</t>
        </is>
      </c>
      <c r="D17" s="7" t="inlineStr">
        <is>
          <t>Three Homes, One Ingredient</t>
        </is>
      </c>
      <c r="E17" s="7" t="inlineStr">
        <is>
          <t>45-second cinematic regional-ingredient brand film</t>
        </is>
      </c>
      <c r="F17" s="7" t="inlineStr">
        <is>
          <t>G3 Creative Selected</t>
        </is>
      </c>
      <c r="G17" s="7" t="inlineStr">
        <is>
          <t>Concept storyboard ready</t>
        </is>
      </c>
      <c r="H17" s="7" t="inlineStr">
        <is>
          <t>n/a</t>
        </is>
      </c>
      <c r="I17" s="7" t="inlineStr">
        <is>
          <t>Discover the approved ingredient story / choose your next taste.</t>
        </is>
      </c>
      <c r="J17" s="7" t="inlineStr">
        <is>
          <t>12-frame storyboard in batch package</t>
        </is>
      </c>
      <c r="K17" s="7" t="inlineStr">
        <is>
          <t>v1.0</t>
        </is>
      </c>
      <c r="L17" s="7" t="inlineStr">
        <is>
          <t>ZYNTH-20260821-FNB-BILINGUAL</t>
        </is>
      </c>
      <c r="M17" s="7" t="inlineStr">
        <is>
          <t>Planning / public context</t>
        </is>
      </c>
      <c r="N17" s="1" t="n"/>
    </row>
    <row r="18" ht="44" customHeight="1">
      <c r="A18" s="1" t="n"/>
      <c r="B18" s="4" t="inlineStr">
        <is>
          <t>COM-2026-FNB-002</t>
        </is>
      </c>
      <c r="C18" s="4" t="inlineStr">
        <is>
          <t>Commercial</t>
        </is>
      </c>
      <c r="D18" s="4" t="inlineStr">
        <is>
          <t>Find Your Flavour</t>
        </is>
      </c>
      <c r="E18" s="4" t="inlineStr">
        <is>
          <t>30-second kinetic retail-discovery commercial</t>
        </is>
      </c>
      <c r="F18" s="4" t="inlineStr">
        <is>
          <t>G3 Creative Selected</t>
        </is>
      </c>
      <c r="G18" s="4" t="inlineStr">
        <is>
          <t>Concept storyboard ready</t>
        </is>
      </c>
      <c r="H18" s="4" t="inlineStr">
        <is>
          <t>n/a</t>
        </is>
      </c>
      <c r="I18" s="4" t="inlineStr">
        <is>
          <t>Follow your flavour—start the approved discovery route.</t>
        </is>
      </c>
      <c r="J18" s="4" t="inlineStr">
        <is>
          <t>12-frame storyboard in batch package</t>
        </is>
      </c>
      <c r="K18" s="4" t="inlineStr">
        <is>
          <t>v1.0</t>
        </is>
      </c>
      <c r="L18" s="4" t="inlineStr">
        <is>
          <t>ZYNTH-20260821-FNB-BILINGUAL</t>
        </is>
      </c>
      <c r="M18" s="4" t="inlineStr">
        <is>
          <t>Planning / public context</t>
        </is>
      </c>
      <c r="N18" s="1" t="n"/>
    </row>
    <row r="19" ht="44" customHeight="1">
      <c r="A19" s="1" t="n"/>
      <c r="B19" s="7" t="inlineStr">
        <is>
          <t>COM-2026-FNB-003</t>
        </is>
      </c>
      <c r="C19" s="7" t="inlineStr">
        <is>
          <t>Commercial</t>
        </is>
      </c>
      <c r="D19" s="7" t="inlineStr">
        <is>
          <t>Before the Day Is Done</t>
        </is>
      </c>
      <c r="E19" s="7" t="inlineStr">
        <is>
          <t>45-second convenience-meal narrative commercial</t>
        </is>
      </c>
      <c r="F19" s="7" t="inlineStr">
        <is>
          <t>G3 Creative Selected</t>
        </is>
      </c>
      <c r="G19" s="7" t="inlineStr">
        <is>
          <t>Concept storyboard ready</t>
        </is>
      </c>
      <c r="H19" s="7" t="inlineStr">
        <is>
          <t>n/a</t>
        </is>
      </c>
      <c r="I19" s="7" t="inlineStr">
        <is>
          <t>See the approved meal experience / reserve a next step.</t>
        </is>
      </c>
      <c r="J19" s="7" t="inlineStr">
        <is>
          <t>12-frame storyboard in batch package</t>
        </is>
      </c>
      <c r="K19" s="7" t="inlineStr">
        <is>
          <t>v1.0</t>
        </is>
      </c>
      <c r="L19" s="7" t="inlineStr">
        <is>
          <t>ZYNTH-20260821-FNB-BILINGUAL</t>
        </is>
      </c>
      <c r="M19" s="7" t="inlineStr">
        <is>
          <t>Planning / public context</t>
        </is>
      </c>
      <c r="N19" s="1" t="n"/>
    </row>
    <row r="20" ht="44" customHeight="1">
      <c r="A20" s="1" t="n"/>
      <c r="B20" s="4" t="inlineStr">
        <is>
          <t>COM-2026-FNB-004</t>
        </is>
      </c>
      <c r="C20" s="4" t="inlineStr">
        <is>
          <t>Commercial</t>
        </is>
      </c>
      <c r="D20" s="4" t="inlineStr">
        <is>
          <t>A Better Break Has a Plan</t>
        </is>
      </c>
      <c r="E20" s="4" t="inlineStr">
        <is>
          <t>40-second B2B workplace service film</t>
        </is>
      </c>
      <c r="F20" s="4" t="inlineStr">
        <is>
          <t>G3 Creative Selected</t>
        </is>
      </c>
      <c r="G20" s="4" t="inlineStr">
        <is>
          <t>Concept storyboard ready</t>
        </is>
      </c>
      <c r="H20" s="4" t="inlineStr">
        <is>
          <t>n/a</t>
        </is>
      </c>
      <c r="I20" s="4" t="inlineStr">
        <is>
          <t>Start a workplace meal conversation—request an approved scope.</t>
        </is>
      </c>
      <c r="J20" s="4" t="inlineStr">
        <is>
          <t>12-frame storyboard in batch package</t>
        </is>
      </c>
      <c r="K20" s="4" t="inlineStr">
        <is>
          <t>v1.0</t>
        </is>
      </c>
      <c r="L20" s="4" t="inlineStr">
        <is>
          <t>ZYNTH-20260821-FNB-BILINGUAL</t>
        </is>
      </c>
      <c r="M20" s="4" t="inlineStr">
        <is>
          <t>Planning / public context</t>
        </is>
      </c>
      <c r="N20" s="1" t="n"/>
    </row>
    <row r="21" ht="44" customHeight="1">
      <c r="A21" s="1" t="n"/>
      <c r="B21" s="7" t="inlineStr">
        <is>
          <t>COM-2026-FNB-005</t>
        </is>
      </c>
      <c r="C21" s="7" t="inlineStr">
        <is>
          <t>Commercial</t>
        </is>
      </c>
      <c r="D21" s="7" t="inlineStr">
        <is>
          <t>The Making Is the Meal</t>
        </is>
      </c>
      <c r="E21" s="7" t="inlineStr">
        <is>
          <t>60-second craft-documentary commercial</t>
        </is>
      </c>
      <c r="F21" s="7" t="inlineStr">
        <is>
          <t>G3 Creative Selected</t>
        </is>
      </c>
      <c r="G21" s="7" t="inlineStr">
        <is>
          <t>Concept storyboard ready</t>
        </is>
      </c>
      <c r="H21" s="7" t="inlineStr">
        <is>
          <t>n/a</t>
        </is>
      </c>
      <c r="I21" s="7" t="inlineStr">
        <is>
          <t>See the making / request the next approved table.</t>
        </is>
      </c>
      <c r="J21" s="7" t="inlineStr">
        <is>
          <t>12-frame storyboard in batch package</t>
        </is>
      </c>
      <c r="K21" s="7" t="inlineStr">
        <is>
          <t>v1.0</t>
        </is>
      </c>
      <c r="L21" s="7" t="inlineStr">
        <is>
          <t>ZYNTH-20260821-FNB-BILINGUAL</t>
        </is>
      </c>
      <c r="M21" s="7" t="inlineStr">
        <is>
          <t>Planning / public context</t>
        </is>
      </c>
      <c r="N21" s="1" t="n"/>
    </row>
    <row r="22" ht="44" customHeight="1">
      <c r="A22" s="1" t="n"/>
      <c r="B22" s="4" t="inlineStr">
        <is>
          <t>COM-2026-FNB-006</t>
        </is>
      </c>
      <c r="C22" s="4" t="inlineStr">
        <is>
          <t>Commercial</t>
        </is>
      </c>
      <c r="D22" s="4" t="inlineStr">
        <is>
          <t>Listen to the Cup</t>
        </is>
      </c>
      <c r="E22" s="4" t="inlineStr">
        <is>
          <t>30-second sensory coffee-and-tea sound film</t>
        </is>
      </c>
      <c r="F22" s="4" t="inlineStr">
        <is>
          <t>G3 Creative Selected</t>
        </is>
      </c>
      <c r="G22" s="4" t="inlineStr">
        <is>
          <t>Concept storyboard ready</t>
        </is>
      </c>
      <c r="H22" s="4" t="inlineStr">
        <is>
          <t>n/a</t>
        </is>
      </c>
      <c r="I22" s="4" t="inlineStr">
        <is>
          <t>Start with your senses—choose an approved next session.</t>
        </is>
      </c>
      <c r="J22" s="4" t="inlineStr">
        <is>
          <t>12-frame storyboard in batch package</t>
        </is>
      </c>
      <c r="K22" s="4" t="inlineStr">
        <is>
          <t>v1.0</t>
        </is>
      </c>
      <c r="L22" s="4" t="inlineStr">
        <is>
          <t>ZYNTH-20260821-FNB-BILINGUAL</t>
        </is>
      </c>
      <c r="M22" s="4" t="inlineStr">
        <is>
          <t>Planning / public context</t>
        </is>
      </c>
      <c r="N22" s="1" t="n"/>
    </row>
    <row r="23" ht="44" customHeight="1">
      <c r="A23" s="1" t="n"/>
      <c r="B23" s="7" t="inlineStr">
        <is>
          <t>COM-2026-FNB-007</t>
        </is>
      </c>
      <c r="C23" s="7" t="inlineStr">
        <is>
          <t>Commercial</t>
        </is>
      </c>
      <c r="D23" s="7" t="inlineStr">
        <is>
          <t>Small Tables, Long Stories</t>
        </is>
      </c>
      <c r="E23" s="7" t="inlineStr">
        <is>
          <t>60-second neighbourhood food-trail social film</t>
        </is>
      </c>
      <c r="F23" s="7" t="inlineStr">
        <is>
          <t>G3 Creative Selected</t>
        </is>
      </c>
      <c r="G23" s="7" t="inlineStr">
        <is>
          <t>Concept storyboard ready</t>
        </is>
      </c>
      <c r="H23" s="7" t="inlineStr">
        <is>
          <t>n/a</t>
        </is>
      </c>
      <c r="I23" s="7" t="inlineStr">
        <is>
          <t>Choose a neighbourhood route—start only from the approved map.</t>
        </is>
      </c>
      <c r="J23" s="7" t="inlineStr">
        <is>
          <t>12-frame storyboard in batch package</t>
        </is>
      </c>
      <c r="K23" s="7" t="inlineStr">
        <is>
          <t>v1.0</t>
        </is>
      </c>
      <c r="L23" s="7" t="inlineStr">
        <is>
          <t>ZYNTH-20260821-FNB-BILINGUAL</t>
        </is>
      </c>
      <c r="M23" s="7" t="inlineStr">
        <is>
          <t>Planning / public context</t>
        </is>
      </c>
      <c r="N23" s="1" t="n"/>
    </row>
    <row r="24" ht="44" customHeight="1">
      <c r="A24" s="1" t="n"/>
      <c r="B24" s="4" t="inlineStr">
        <is>
          <t>COM-2026-FNB-008</t>
        </is>
      </c>
      <c r="C24" s="4" t="inlineStr">
        <is>
          <t>Commercial</t>
        </is>
      </c>
      <c r="D24" s="4" t="inlineStr">
        <is>
          <t>The Table You Build</t>
        </is>
      </c>
      <c r="E24" s="4" t="inlineStr">
        <is>
          <t>45-second festive-hosting vertical film series hero cut</t>
        </is>
      </c>
      <c r="F24" s="4" t="inlineStr">
        <is>
          <t>G3 Creative Selected</t>
        </is>
      </c>
      <c r="G24" s="4" t="inlineStr">
        <is>
          <t>Concept storyboard ready</t>
        </is>
      </c>
      <c r="H24" s="4" t="inlineStr">
        <is>
          <t>n/a</t>
        </is>
      </c>
      <c r="I24" s="4" t="inlineStr">
        <is>
          <t>Build your approved hosting plan / request the next step.</t>
        </is>
      </c>
      <c r="J24" s="4" t="inlineStr">
        <is>
          <t>12-frame storyboard in batch package</t>
        </is>
      </c>
      <c r="K24" s="4" t="inlineStr">
        <is>
          <t>v1.0</t>
        </is>
      </c>
      <c r="L24" s="4" t="inlineStr">
        <is>
          <t>ZYNTH-20260821-FNB-BILINGUAL</t>
        </is>
      </c>
      <c r="M24" s="4" t="inlineStr">
        <is>
          <t>Planning / public context</t>
        </is>
      </c>
      <c r="N24" s="1" t="n"/>
    </row>
    <row r="25" ht="44" customHeight="1">
      <c r="A25" s="1" t="n"/>
      <c r="B25" s="7" t="inlineStr">
        <is>
          <t>COM-2026-FNB-009</t>
        </is>
      </c>
      <c r="C25" s="7" t="inlineStr">
        <is>
          <t>Commercial</t>
        </is>
      </c>
      <c r="D25" s="7" t="inlineStr">
        <is>
          <t>One Bite, Then the Brief</t>
        </is>
      </c>
      <c r="E25" s="7" t="inlineStr">
        <is>
          <t>45-second B2B food-trade preview film</t>
        </is>
      </c>
      <c r="F25" s="7" t="inlineStr">
        <is>
          <t>G3 Creative Selected</t>
        </is>
      </c>
      <c r="G25" s="7" t="inlineStr">
        <is>
          <t>Concept storyboard ready</t>
        </is>
      </c>
      <c r="H25" s="7" t="inlineStr">
        <is>
          <t>n/a</t>
        </is>
      </c>
      <c r="I25" s="7" t="inlineStr">
        <is>
          <t>Bring the right questions—request an approved trade preview.</t>
        </is>
      </c>
      <c r="J25" s="7" t="inlineStr">
        <is>
          <t>12-frame storyboard in batch package</t>
        </is>
      </c>
      <c r="K25" s="7" t="inlineStr">
        <is>
          <t>v1.0</t>
        </is>
      </c>
      <c r="L25" s="7" t="inlineStr">
        <is>
          <t>ZYNTH-20260821-FNB-BILINGUAL</t>
        </is>
      </c>
      <c r="M25" s="7" t="inlineStr">
        <is>
          <t>Planning / public context</t>
        </is>
      </c>
      <c r="N25" s="1" t="n"/>
    </row>
    <row r="26" ht="44" customHeight="1">
      <c r="A26" s="1" t="n"/>
      <c r="B26" s="4" t="inlineStr">
        <is>
          <t>COM-2026-FNB-010</t>
        </is>
      </c>
      <c r="C26" s="4" t="inlineStr">
        <is>
          <t>Commercial</t>
        </is>
      </c>
      <c r="D26" s="4" t="inlineStr">
        <is>
          <t>The Second Serving</t>
        </is>
      </c>
      <c r="E26" s="4" t="inlineStr">
        <is>
          <t>35-second feedback-to-return product dialogue commercial</t>
        </is>
      </c>
      <c r="F26" s="4" t="inlineStr">
        <is>
          <t>G3 Creative Selected</t>
        </is>
      </c>
      <c r="G26" s="4" t="inlineStr">
        <is>
          <t>Concept storyboard ready</t>
        </is>
      </c>
      <c r="H26" s="4" t="inlineStr">
        <is>
          <t>n/a</t>
        </is>
      </c>
      <c r="I26" s="4" t="inlineStr">
        <is>
          <t>Tell us what the next serving should solve—choose your approved response path.</t>
        </is>
      </c>
      <c r="J26" s="4" t="inlineStr">
        <is>
          <t>12-frame storyboard in batch package</t>
        </is>
      </c>
      <c r="K26" s="4" t="inlineStr">
        <is>
          <t>v1.0</t>
        </is>
      </c>
      <c r="L26" s="4" t="inlineStr">
        <is>
          <t>ZYNTH-20260821-FNB-BILINGUAL</t>
        </is>
      </c>
      <c r="M26" s="4" t="inlineStr">
        <is>
          <t>Planning / public context</t>
        </is>
      </c>
      <c r="N26" s="1" t="n"/>
    </row>
  </sheetData>
  <autoFilter ref="B6:M26"/>
  <mergeCells count="2">
    <mergeCell ref="B3:N3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2026-08-21T06:39:11Z</dcterms:created>
  <dcterms:modified xmlns:dcterms="http://purl.org/dc/terms/" xmlns:xsi="http://www.w3.org/2001/XMLSchema-instance" xsi:type="dcterms:W3CDTF">2026-08-21T06:39:11Z</dcterms:modified>
</cp:coreProperties>
</file>